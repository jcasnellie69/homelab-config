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14d00395c4eabc8/Desktop/"/>
    </mc:Choice>
  </mc:AlternateContent>
  <xr:revisionPtr revIDLastSave="6" documentId="8_{5C9FF8BB-BE1C-4EF4-B126-D2E316394959}" xr6:coauthVersionLast="47" xr6:coauthVersionMax="47" xr10:uidLastSave="{06EF4121-2C47-47B3-A3A4-ABA2E4D563D7}"/>
  <bookViews>
    <workbookView xWindow="-120" yWindow="-120" windowWidth="51840" windowHeight="21120" xr2:uid="{00000000-000D-0000-FFFF-FFFF00000000}"/>
  </bookViews>
  <sheets>
    <sheet name="Network Inventory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" i="6" l="1"/>
  <c r="H137" i="6"/>
  <c r="K137" i="6"/>
  <c r="E138" i="6"/>
  <c r="H138" i="6"/>
  <c r="K138" i="6"/>
  <c r="E139" i="6"/>
  <c r="H139" i="6"/>
  <c r="K139" i="6"/>
  <c r="E140" i="6"/>
  <c r="K140" i="6"/>
  <c r="E141" i="6"/>
  <c r="E142" i="6"/>
  <c r="E143" i="6"/>
  <c r="E144" i="6"/>
  <c r="E145" i="6"/>
  <c r="E146" i="6"/>
  <c r="E147" i="6"/>
  <c r="E148" i="6"/>
  <c r="B149" i="6"/>
  <c r="E149" i="6"/>
  <c r="B146" i="6" l="1"/>
  <c r="B139" i="6"/>
  <c r="B137" i="6"/>
  <c r="B145" i="6"/>
  <c r="B141" i="6"/>
  <c r="B144" i="6"/>
  <c r="B140" i="6"/>
  <c r="B138" i="6"/>
  <c r="B143" i="6"/>
  <c r="B142" i="6"/>
</calcChain>
</file>

<file path=xl/sharedStrings.xml><?xml version="1.0" encoding="utf-8"?>
<sst xmlns="http://schemas.openxmlformats.org/spreadsheetml/2006/main" count="1168" uniqueCount="408">
  <si>
    <t>Port</t>
  </si>
  <si>
    <t>Notes</t>
  </si>
  <si>
    <t>Unknown</t>
  </si>
  <si>
    <t>—</t>
  </si>
  <si>
    <t>Eero Max 7</t>
  </si>
  <si>
    <t>Trendnet 2.5G</t>
  </si>
  <si>
    <t>Status</t>
  </si>
  <si>
    <t>IP Address</t>
  </si>
  <si>
    <t>Category</t>
  </si>
  <si>
    <t>Active</t>
  </si>
  <si>
    <t>Priority</t>
  </si>
  <si>
    <t>N/A</t>
  </si>
  <si>
    <t>NETWORK INVENTORY REPORT</t>
  </si>
  <si>
    <t>MOKERLINK 12-Port Switch + Pi-hole Correlation</t>
  </si>
  <si>
    <t>Generated: 4/6/2026</t>
  </si>
  <si>
    <t>Hostname</t>
  </si>
  <si>
    <t>MAC Address</t>
  </si>
  <si>
    <t>Vendor</t>
  </si>
  <si>
    <t>Switch Port</t>
  </si>
  <si>
    <t>Port Type</t>
  </si>
  <si>
    <t>DNS Queries</t>
  </si>
  <si>
    <t>Last Seen (Pi-hole)</t>
  </si>
  <si>
    <t>Device Category</t>
  </si>
  <si>
    <t>192.168.4.190</t>
  </si>
  <si>
    <t>USA92JDN74.lan</t>
  </si>
  <si>
    <t>80:C0:1E:1E:C6:93</t>
  </si>
  <si>
    <t>Intel Corporate</t>
  </si>
  <si>
    <t>TE5</t>
  </si>
  <si>
    <t>SFP/SFP+ (10G)</t>
  </si>
  <si>
    <t>Critical</t>
  </si>
  <si>
    <t>169.254.198.204</t>
  </si>
  <si>
    <t>90:BF:D9:B3:B8:AA</t>
  </si>
  <si>
    <t>Smart Innovation LLC</t>
  </si>
  <si>
    <t>Not on Switch</t>
  </si>
  <si>
    <t>Inactive</t>
  </si>
  <si>
    <t>192.168.4.144</t>
  </si>
  <si>
    <t>her-iphone.lan</t>
  </si>
  <si>
    <t>A0:EE:1A:60:88:03</t>
  </si>
  <si>
    <t>Apple, Inc.</t>
  </si>
  <si>
    <t>Mobile/Apple</t>
  </si>
  <si>
    <t>Idle</t>
  </si>
  <si>
    <t>192.168.4.1</t>
  </si>
  <si>
    <t>Blink-Mini.lan</t>
  </si>
  <si>
    <t>24:2D:6C:F7:3C:D4</t>
  </si>
  <si>
    <t>eero inc.</t>
  </si>
  <si>
    <t>Network/Router</t>
  </si>
  <si>
    <t>192.168.4.172</t>
  </si>
  <si>
    <t>S380HB.lan</t>
  </si>
  <si>
    <t>90:BF:D9:B3:E0:1B</t>
  </si>
  <si>
    <t>TE2</t>
  </si>
  <si>
    <t>RJ45 (2.5G)</t>
  </si>
  <si>
    <t>192.168.4.181</t>
  </si>
  <si>
    <t>apple-tv-hub.lan</t>
  </si>
  <si>
    <t>74:CC:40:EA:21:86</t>
  </si>
  <si>
    <t>192.168.4.110</t>
  </si>
  <si>
    <t>apple-4k-5.lan</t>
  </si>
  <si>
    <t>38:A7:46:60:05:0E</t>
  </si>
  <si>
    <t>Compal Information</t>
  </si>
  <si>
    <t>TE1</t>
  </si>
  <si>
    <t>Entertainment</t>
  </si>
  <si>
    <t>High</t>
  </si>
  <si>
    <t>192.168.4.103</t>
  </si>
  <si>
    <t>C425.lan</t>
  </si>
  <si>
    <t>EE:56:A5:74:EC:4B</t>
  </si>
  <si>
    <t>Cloud Network Technology</t>
  </si>
  <si>
    <t>192.168.4.69</t>
  </si>
  <si>
    <t>68:3A:48:4D:7D:58</t>
  </si>
  <si>
    <t>SAMJIN Co., Ltd.</t>
  </si>
  <si>
    <t>192.168.4.121</t>
  </si>
  <si>
    <t>Watch.lan</t>
  </si>
  <si>
    <t>68:DB:F5:15:87:79</t>
  </si>
  <si>
    <t>Amazon Technologies Inc.</t>
  </si>
  <si>
    <t>Wearable</t>
  </si>
  <si>
    <t>192.168.4.189</t>
  </si>
  <si>
    <t>iPhone.lan</t>
  </si>
  <si>
    <t>50:FD:D5:B0:CA:74</t>
  </si>
  <si>
    <t>SJI Industry Company</t>
  </si>
  <si>
    <t>192.168.4.82</t>
  </si>
  <si>
    <t>H200.lan</t>
  </si>
  <si>
    <t>10:96:93:7E:B5:EC</t>
  </si>
  <si>
    <t>Amazon Device</t>
  </si>
  <si>
    <t>192.168.4.95</t>
  </si>
  <si>
    <t>iPad.lan</t>
  </si>
  <si>
    <t>E8:D8:7E:77:51:6C</t>
  </si>
  <si>
    <t>192.168.4.131</t>
  </si>
  <si>
    <t>amazon-600e64510.lan</t>
  </si>
  <si>
    <t>10:96:93:80:77:26</t>
  </si>
  <si>
    <t>192.168.4.228</t>
  </si>
  <si>
    <t>Samsung-Dryer.lan</t>
  </si>
  <si>
    <t>88:57:1D:11:D6:C5</t>
  </si>
  <si>
    <t>Seongji Industry Company</t>
  </si>
  <si>
    <t>Appliance</t>
  </si>
  <si>
    <t>192.168.4.249</t>
  </si>
  <si>
    <t>E0:51:D8:1A:9D:A7</t>
  </si>
  <si>
    <t>China Dragon Technology</t>
  </si>
  <si>
    <t>TE3</t>
  </si>
  <si>
    <t>192.168.4.61</t>
  </si>
  <si>
    <t>EP25.lan</t>
  </si>
  <si>
    <t>C0:8D:51:9E:A6:5F</t>
  </si>
  <si>
    <t>192.168.4.94</t>
  </si>
  <si>
    <t>aqara-m2.lan</t>
  </si>
  <si>
    <t>EC:0D:E4:D8:34:77</t>
  </si>
  <si>
    <t>Smart Hub</t>
  </si>
  <si>
    <t>192.168.4.56</t>
  </si>
  <si>
    <t>net_a1_BDD2.lan</t>
  </si>
  <si>
    <t>88:57:1D:EA:2B:E8</t>
  </si>
  <si>
    <t>192.168.4.89</t>
  </si>
  <si>
    <t>8C:90:2D:41:4D:C1</t>
  </si>
  <si>
    <t>TP-Link Systems Inc.</t>
  </si>
  <si>
    <t>Security/Camera</t>
  </si>
  <si>
    <t>192.168.4.97</t>
  </si>
  <si>
    <t>HPCC1C50.lan</t>
  </si>
  <si>
    <t>F0:F0:A4:47:D9:A9</t>
  </si>
  <si>
    <t>192.168.4.109</t>
  </si>
  <si>
    <t>ChamberTV.lan</t>
  </si>
  <si>
    <t>D4:91:0F:9F:A4:13</t>
  </si>
  <si>
    <t>192.168.4.102</t>
  </si>
  <si>
    <t>gdocntl.lan</t>
  </si>
  <si>
    <t>E8:CA:C8:59:56:8E</t>
  </si>
  <si>
    <t>Hui Zhou Gaoshengda</t>
  </si>
  <si>
    <t>192.168.4.126</t>
  </si>
  <si>
    <t>hubv3-03021743206.lan</t>
  </si>
  <si>
    <t>68:3A:48:4D:7D:59</t>
  </si>
  <si>
    <t>192.168.4.176</t>
  </si>
  <si>
    <t>40:47:5E:F0:68:72</t>
  </si>
  <si>
    <t>192.168.4.214</t>
  </si>
  <si>
    <t>00:35:FF:28:96:A1</t>
  </si>
  <si>
    <t>Texas Instruments</t>
  </si>
  <si>
    <t>192.168.4.177</t>
  </si>
  <si>
    <t>98:CD:AC:B0:23:F4</t>
  </si>
  <si>
    <t>Espressif Inc.</t>
  </si>
  <si>
    <t>Medium</t>
  </si>
  <si>
    <t>192.168.4.208</t>
  </si>
  <si>
    <t>pi.hole</t>
  </si>
  <si>
    <t>ASIX Electronics</t>
  </si>
  <si>
    <t>Infrastructure</t>
  </si>
  <si>
    <t>192.168.4.248</t>
  </si>
  <si>
    <t>BE:60:D2:39:3D:4A</t>
  </si>
  <si>
    <t>Proxmox Server Solutions</t>
  </si>
  <si>
    <t>192.168.4.90</t>
  </si>
  <si>
    <t>2C:71:FF:AB:46:51</t>
  </si>
  <si>
    <t>192.168.4.128</t>
  </si>
  <si>
    <t>homeassistant.lan</t>
  </si>
  <si>
    <t>D4:F9:21:BE:83:A4</t>
  </si>
  <si>
    <t>Qingdao Intelligent</t>
  </si>
  <si>
    <t>192.168.4.27</t>
  </si>
  <si>
    <t>LIFX-DLCOL-A07C1A.lan</t>
  </si>
  <si>
    <t>BC:07:1D:29:54:57</t>
  </si>
  <si>
    <t>Lighting/Smart</t>
  </si>
  <si>
    <t>192.168.4.62</t>
  </si>
  <si>
    <t>refrigerator.lan</t>
  </si>
  <si>
    <t>DC:62:79:F5:74:77</t>
  </si>
  <si>
    <t>192.168.4.164</t>
  </si>
  <si>
    <t>P210M.lan</t>
  </si>
  <si>
    <t>BC:07:1D:29:54:F9</t>
  </si>
  <si>
    <t>Smart Plug/IoT</t>
  </si>
  <si>
    <t>192.168.4.115</t>
  </si>
  <si>
    <t>amazon-12c70acf3.lan</t>
  </si>
  <si>
    <t>44:61:32:0A:25:0F</t>
  </si>
  <si>
    <t>ecobee inc</t>
  </si>
  <si>
    <t>192.168.4.169</t>
  </si>
  <si>
    <t>30:68:93:E7:EC:F2</t>
  </si>
  <si>
    <t>192.168.4.227</t>
  </si>
  <si>
    <t>S515.lan</t>
  </si>
  <si>
    <t>30:68:93:AC:2D:E0</t>
  </si>
  <si>
    <t>192.168.4.116</t>
  </si>
  <si>
    <t>A4:E5:7C:BA:F4:C8</t>
  </si>
  <si>
    <t>192.168.4.200</t>
  </si>
  <si>
    <t>S515D.lan</t>
  </si>
  <si>
    <t>7C:F1:7E:8F:93:76</t>
  </si>
  <si>
    <t>192.168.4.86</t>
  </si>
  <si>
    <t>D4:AD:FC:92:B3:B0</t>
  </si>
  <si>
    <t>Shenzhen Intellirocks</t>
  </si>
  <si>
    <t>192.168.4.55</t>
  </si>
  <si>
    <t>30:68:93:E7:EC:89</t>
  </si>
  <si>
    <t>192.168.4.236</t>
  </si>
  <si>
    <t>IPC.lan</t>
  </si>
  <si>
    <t>E4:FA:C4:B2:77:AF</t>
  </si>
  <si>
    <t>192.168.4.136</t>
  </si>
  <si>
    <t>eero.lan</t>
  </si>
  <si>
    <t>D4:AD:FC:93:97:36</t>
  </si>
  <si>
    <t>192.168.4.117</t>
  </si>
  <si>
    <t>7C:F1:7E:8F:95:1E</t>
  </si>
  <si>
    <t>192.168.4.66</t>
  </si>
  <si>
    <t>yoga.lan</t>
  </si>
  <si>
    <t>FC:13:F5:1B:C5:81</t>
  </si>
  <si>
    <t>Computer</t>
  </si>
  <si>
    <t>192.168.4.130</t>
  </si>
  <si>
    <t>BC:24:11:F2:AC:2A</t>
  </si>
  <si>
    <t>192.168.4.113</t>
  </si>
  <si>
    <t>emporia.lan</t>
  </si>
  <si>
    <t>30:68:93:E7:ED:1C</t>
  </si>
  <si>
    <t>192.168.4.231</t>
  </si>
  <si>
    <t>BC:07:1D:29:56:9F</t>
  </si>
  <si>
    <t>192.168.4.100</t>
  </si>
  <si>
    <t>50:FD:D5:EF:9D:5A</t>
  </si>
  <si>
    <t>192.168.4.196</t>
  </si>
  <si>
    <t>7C:F1:7E:8F:9C:98</t>
  </si>
  <si>
    <t>192.168.4.213</t>
  </si>
  <si>
    <t>EC:75:0C:0C:BA:2C</t>
  </si>
  <si>
    <t>192.168.4.73</t>
  </si>
  <si>
    <t>ring-hub.lan</t>
  </si>
  <si>
    <t>70:86:CE:CD:BD:D2</t>
  </si>
  <si>
    <t>GD Midea Air-Conditioning</t>
  </si>
  <si>
    <t>192.168.4.111</t>
  </si>
  <si>
    <t>LIFX-Ceiling-A08697.lan</t>
  </si>
  <si>
    <t>D4:AD:FC:4D:C3:ED</t>
  </si>
  <si>
    <t>192.168.4.155</t>
  </si>
  <si>
    <t>60:74:F4:56:5F:98</t>
  </si>
  <si>
    <t>Private</t>
  </si>
  <si>
    <t>192.168.4.57</t>
  </si>
  <si>
    <t>EC:75:0C:0C:B6:43</t>
  </si>
  <si>
    <t>192.168.4.140</t>
  </si>
  <si>
    <t>18:DE:50:00:B1:C2</t>
  </si>
  <si>
    <t>Tuya Smart Inc.</t>
  </si>
  <si>
    <t>192.168.4.79</t>
  </si>
  <si>
    <t>60:74:F4:4B:1B:C8</t>
  </si>
  <si>
    <t>192.168.4.230</t>
  </si>
  <si>
    <t>S505.lan</t>
  </si>
  <si>
    <t>7C:F1:7E:C8:8C:74</t>
  </si>
  <si>
    <t>192.168.4.143</t>
  </si>
  <si>
    <t>38:1F:8D:F9:50:DB</t>
  </si>
  <si>
    <t>192.168.4.161</t>
  </si>
  <si>
    <t>18:DE:50:00:15:43</t>
  </si>
  <si>
    <t>192.168.4.50</t>
  </si>
  <si>
    <t>30:68:93:2E:75:D0</t>
  </si>
  <si>
    <t>192.168.4.163</t>
  </si>
  <si>
    <t>LIFX-Ceiling-A06B80.lan</t>
  </si>
  <si>
    <t>D0:73:D5:A0:6B:80</t>
  </si>
  <si>
    <t>Lifi Labs Management</t>
  </si>
  <si>
    <t>192.168.4.125</t>
  </si>
  <si>
    <t>54:AF:97:A0:8A:18</t>
  </si>
  <si>
    <t>192.168.4.108</t>
  </si>
  <si>
    <t>LIFX-DLCOL-A06866.lan</t>
  </si>
  <si>
    <t>18:DE:50:01:F1:AD</t>
  </si>
  <si>
    <t>192.168.4.170</t>
  </si>
  <si>
    <t>L535.lan</t>
  </si>
  <si>
    <t>60:74:F4:4B:21:82</t>
  </si>
  <si>
    <t>192.168.4.21</t>
  </si>
  <si>
    <t>7C:63:05:DA:8D:D1</t>
  </si>
  <si>
    <t>192.168.4.165</t>
  </si>
  <si>
    <t>9C:A2:F4:DB:12:9D</t>
  </si>
  <si>
    <t>192.168.4.107</t>
  </si>
  <si>
    <t>7C:F6:66:B4:D7:EF</t>
  </si>
  <si>
    <t>192.168.4.101</t>
  </si>
  <si>
    <t>Samsung-Range.lan</t>
  </si>
  <si>
    <t>8C:90:2D:20:66:18</t>
  </si>
  <si>
    <t>192.168.4.91</t>
  </si>
  <si>
    <t>7C:F6:66:B4:DB:6A</t>
  </si>
  <si>
    <t>Low</t>
  </si>
  <si>
    <t>192.168.4.251</t>
  </si>
  <si>
    <t>30:29:2B:1A:92:F2</t>
  </si>
  <si>
    <t>192.168.4.122</t>
  </si>
  <si>
    <t>8C:90:2D:20:65:D2</t>
  </si>
  <si>
    <t>192.168.4.160</t>
  </si>
  <si>
    <t>30:29:2B:26:38:52</t>
  </si>
  <si>
    <t>192.168.4.120</t>
  </si>
  <si>
    <t>40:47:5E:EF:AB:D2</t>
  </si>
  <si>
    <t>192.168.4.112</t>
  </si>
  <si>
    <t>60:74:F4:40:65:70</t>
  </si>
  <si>
    <t>192.168.4.10</t>
  </si>
  <si>
    <t>38:05:25:33:ED:66</t>
  </si>
  <si>
    <t>TE10</t>
  </si>
  <si>
    <t>192.168.4.22</t>
  </si>
  <si>
    <t>D0:73:D5:D0:4A:39</t>
  </si>
  <si>
    <t>192.168.4.179</t>
  </si>
  <si>
    <t>BA:8B:6B:D8:FF:05</t>
  </si>
  <si>
    <t>LG Innotek</t>
  </si>
  <si>
    <t>192.168.4.217</t>
  </si>
  <si>
    <t>LIFX-Ceiling-8816CA.lan</t>
  </si>
  <si>
    <t>D0:73:D5:88:16:CA</t>
  </si>
  <si>
    <t>192.168.4.81</t>
  </si>
  <si>
    <t>amazon-a471fb2c6.lan</t>
  </si>
  <si>
    <t>3C:64:CF:2D:BF:AF</t>
  </si>
  <si>
    <t>192.168.4.192</t>
  </si>
  <si>
    <t>40:47:5E:EF:57:52</t>
  </si>
  <si>
    <t>192.168.4.253</t>
  </si>
  <si>
    <t>LIFX-DLCOL-A0149F.lan</t>
  </si>
  <si>
    <t>30:29:2B:24:8F:32</t>
  </si>
  <si>
    <t>192.168.4.239</t>
  </si>
  <si>
    <t>34:3E:A4:A7:71:59</t>
  </si>
  <si>
    <t>Ring LLC</t>
  </si>
  <si>
    <t>192.168.4.75</t>
  </si>
  <si>
    <t>SatansRevenge.lan</t>
  </si>
  <si>
    <t>8C:90:2D:A2:4D:B9</t>
  </si>
  <si>
    <t>192.168.4.33</t>
  </si>
  <si>
    <t>D0:73:D5:A0:68:66</t>
  </si>
  <si>
    <t>192.168.4.99</t>
  </si>
  <si>
    <t>LGE_AC2_open.lan</t>
  </si>
  <si>
    <t>14:7F:67:8D:B6:27</t>
  </si>
  <si>
    <t>192.168.4.88</t>
  </si>
  <si>
    <t>KP125M.lan</t>
  </si>
  <si>
    <t>DC:62:79:6B:CC:1A</t>
  </si>
  <si>
    <t>192.168.4.138</t>
  </si>
  <si>
    <t>D0:73:D5:D0:03:D9</t>
  </si>
  <si>
    <t>192.168.4.201</t>
  </si>
  <si>
    <t>80:C5:F2:A0:97:14</t>
  </si>
  <si>
    <t>AzureWave Technology</t>
  </si>
  <si>
    <t>192.168.4.123</t>
  </si>
  <si>
    <t>8C:90:2D:A2:4F:E6</t>
  </si>
  <si>
    <t>192.168.4.114</t>
  </si>
  <si>
    <t>BC:24:11:FA:57:0B</t>
  </si>
  <si>
    <t>192.168.4.171</t>
  </si>
  <si>
    <t>3C:64:CF:2D:C3:E9</t>
  </si>
  <si>
    <t>192.168.4.30</t>
  </si>
  <si>
    <t>84:47:09:71:62:50</t>
  </si>
  <si>
    <t>Shenzhen IP3 Century</t>
  </si>
  <si>
    <t>192.168.4.134</t>
  </si>
  <si>
    <t>D0:73:D5:A0:86:97</t>
  </si>
  <si>
    <t>192.168.4.118</t>
  </si>
  <si>
    <t>wlan0.lan</t>
  </si>
  <si>
    <t>8C:90:2D:A2:45:95</t>
  </si>
  <si>
    <t>192.168.4.194</t>
  </si>
  <si>
    <t>D4:A6:51:F3:D7:3B</t>
  </si>
  <si>
    <t>192.168.4.124</t>
  </si>
  <si>
    <t>8C:90:2D:A2:55:DB</t>
  </si>
  <si>
    <t>192.168.4.157</t>
  </si>
  <si>
    <t>LIFX-Switch-641E32.lan</t>
  </si>
  <si>
    <t>D0:73:D5:64:1E:32</t>
  </si>
  <si>
    <t>192.168.4.198</t>
  </si>
  <si>
    <t>D0:73:D5:88:43:91</t>
  </si>
  <si>
    <t>192.168.4.162</t>
  </si>
  <si>
    <t>8C:90:2D:1B:CE:98</t>
  </si>
  <si>
    <t>192.168.4.83</t>
  </si>
  <si>
    <t>D0:73:D5:88:81:8A</t>
  </si>
  <si>
    <t>Energy Monitor</t>
  </si>
  <si>
    <t>192.168.4.92</t>
  </si>
  <si>
    <t>D0:73:D5:74:F1:F3</t>
  </si>
  <si>
    <t>192.168.4.104</t>
  </si>
  <si>
    <t>70:89:76:73:B4:61</t>
  </si>
  <si>
    <t>192.168.4.44</t>
  </si>
  <si>
    <t>aqara-m3.lan</t>
  </si>
  <si>
    <t>18:C2:3C:4F:23:A5</t>
  </si>
  <si>
    <t>Lumi United Technology</t>
  </si>
  <si>
    <t>TE4</t>
  </si>
  <si>
    <t>192.168.4.188</t>
  </si>
  <si>
    <t>8C:90:2D:1B:D9:AC</t>
  </si>
  <si>
    <t>192.168.4.187</t>
  </si>
  <si>
    <t>3C:64:CF:DE:31:98</t>
  </si>
  <si>
    <t>192.168.4.105</t>
  </si>
  <si>
    <t>10:D5:61:03:79:10</t>
  </si>
  <si>
    <t>192.168.4.240</t>
  </si>
  <si>
    <t>18:C2:3C:14:FB:98</t>
  </si>
  <si>
    <t>192.168.4.148</t>
  </si>
  <si>
    <t>54:EF:44:72:85:D0</t>
  </si>
  <si>
    <t>192.168.4.52</t>
  </si>
  <si>
    <t>D4:A6:51:F3:E7:54</t>
  </si>
  <si>
    <t>192.168.4.70</t>
  </si>
  <si>
    <t>D8:13:2A:6A:C5:E0</t>
  </si>
  <si>
    <t>192.168.4.149</t>
  </si>
  <si>
    <t>02:09:57:24:3E:E5</t>
  </si>
  <si>
    <t>192.168.4.133</t>
  </si>
  <si>
    <t>90:BF:D9:B6:3E:7A</t>
  </si>
  <si>
    <t>192.168.4.152</t>
  </si>
  <si>
    <t>DC:62:79:55:26:DD</t>
  </si>
  <si>
    <t>192.168.4.51</t>
  </si>
  <si>
    <t>B0:19:21:8A:2D:87</t>
  </si>
  <si>
    <t>192.168.4.129</t>
  </si>
  <si>
    <t>90:BF:D9:B8:44:BE</t>
  </si>
  <si>
    <t>192.168.4.139</t>
  </si>
  <si>
    <t>homepage.lan</t>
  </si>
  <si>
    <t>BC:24:11:9B:14:AE</t>
  </si>
  <si>
    <t>192.168.4.53</t>
  </si>
  <si>
    <t>60:74:F4:55:70:BC</t>
  </si>
  <si>
    <t>192.168.4.74</t>
  </si>
  <si>
    <t>BC:24:11:05:1A:13</t>
  </si>
  <si>
    <t>192.168.4.153</t>
  </si>
  <si>
    <t>D8:13:2A:67:87:1C</t>
  </si>
  <si>
    <t>192.168.4.180</t>
  </si>
  <si>
    <t>prometheus.lan</t>
  </si>
  <si>
    <t>BC:24:11:C5:C3:81</t>
  </si>
  <si>
    <t>192.168.4.119</t>
  </si>
  <si>
    <t>64:9A:63:AF:C1:B0</t>
  </si>
  <si>
    <t>192.168.4.106</t>
  </si>
  <si>
    <t>00:24:E4:EA:BF:32</t>
  </si>
  <si>
    <t>Withings</t>
  </si>
  <si>
    <t>192.168.4.202</t>
  </si>
  <si>
    <t>C4:82:E1:04:56:8F</t>
  </si>
  <si>
    <t>SUMMARY &amp; ANALYSIS</t>
  </si>
  <si>
    <t>PORT DISTRIBUTION</t>
  </si>
  <si>
    <t>DEVICE CATEGORIES</t>
  </si>
  <si>
    <t>STATUS SUMMARY</t>
  </si>
  <si>
    <t>PRIORITY BREAKDOWN</t>
  </si>
  <si>
    <t>Count</t>
  </si>
  <si>
    <t>Description</t>
  </si>
  <si>
    <t>Laptop (RJ45)</t>
  </si>
  <si>
    <t>TP-Link 2.5G</t>
  </si>
  <si>
    <t>Netgear 8pt PoE</t>
  </si>
  <si>
    <t>TE6-9</t>
  </si>
  <si>
    <t>Unknown/Unused</t>
  </si>
  <si>
    <t>Alpha Server</t>
  </si>
  <si>
    <t>TE11</t>
  </si>
  <si>
    <t>TE12</t>
  </si>
  <si>
    <t>Via downstream</t>
  </si>
  <si>
    <t>Server/VM</t>
  </si>
  <si>
    <t>TOTAL DEVICES</t>
  </si>
  <si>
    <t>Other</t>
  </si>
  <si>
    <t>KEY INSIGHTS</t>
  </si>
  <si>
    <t>• Most traffic routes through TE5 (Eero Max 7) - this is the main WiFi access point</t>
  </si>
  <si>
    <t>• TE2 handles downstream switches/hubs with multiple IoT devices</t>
  </si>
  <si>
    <t>• Alpha servers (TE10-12) have minimal DNS traffic - consider LAG for bandwidth</t>
  </si>
  <si>
    <t>• Critical priority devices (&gt;500K queries) need monitoring for potential issues</t>
  </si>
  <si>
    <t>• Devices 'Not on Switch' are connected via downstream equipment (Eero mesh, other switches)</t>
  </si>
  <si>
    <t>LEGEND</t>
  </si>
  <si>
    <t>TE1-TE4</t>
  </si>
  <si>
    <t>RJ45 2.5GbE Ports</t>
  </si>
  <si>
    <t>TE5-TE12</t>
  </si>
  <si>
    <t>SFP/SFP+ 10GbE 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</si>
</sst>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7" x14ac:knownFonts="1">
    <font>
      <sz val="12"/>
      <name val="Calibri"/>
    </font>
    <font>
      <b/>
      <sz val="12"/>
      <name val="Calibri"/>
    </font>
    <font>
      <b/>
      <sz val="12"/>
      <color rgb="FFFFFFFF"/>
      <name val="Calibri"/>
    </font>
    <font>
      <b/>
      <sz val="14"/>
      <color rgb="FFFFFFFF"/>
      <name val="Calibri"/>
    </font>
    <font>
      <b/>
      <sz val="16"/>
      <color rgb="FFFFFFFF"/>
      <name val="Calibri"/>
    </font>
    <font>
      <i/>
      <sz val="12"/>
      <name val="Calibri"/>
    </font>
    <font>
      <sz val="10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/>
    <xf numFmtId="3" fontId="0" fillId="0" borderId="0" xfId="0" applyNumberFormat="1"/>
    <xf numFmtId="0" fontId="1" fillId="4" borderId="0" xfId="0" applyFont="1" applyFill="1"/>
    <xf numFmtId="0" fontId="1" fillId="5" borderId="0" xfId="0" applyFont="1" applyFill="1"/>
    <xf numFmtId="164" fontId="0" fillId="0" borderId="0" xfId="0" applyNumberFormat="1"/>
    <xf numFmtId="0" fontId="0" fillId="8" borderId="0" xfId="0" applyFill="1"/>
    <xf numFmtId="3" fontId="0" fillId="8" borderId="0" xfId="0" applyNumberFormat="1" applyFill="1"/>
    <xf numFmtId="164" fontId="0" fillId="8" borderId="0" xfId="0" applyNumberFormat="1" applyFill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9">
    <dxf>
      <font>
        <color rgb="FF000000"/>
      </font>
      <fill>
        <patternFill patternType="solid">
          <fgColor indexed="64"/>
          <bgColor rgb="FFBDD7EE"/>
        </patternFill>
      </fill>
    </dxf>
    <dxf>
      <font>
        <color rgb="FF000000"/>
      </font>
      <fill>
        <patternFill patternType="solid">
          <fgColor indexed="64"/>
          <bgColor rgb="FFFFCC00"/>
        </patternFill>
      </fill>
    </dxf>
    <dxf>
      <font>
        <color rgb="FFFFFFFF"/>
      </font>
      <fill>
        <patternFill patternType="solid">
          <fgColor indexed="64"/>
          <bgColor rgb="FFFF66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0"/>
        <i/>
      </font>
      <fill>
        <patternFill patternType="solid">
          <fgColor indexed="64"/>
          <bgColor rgb="FFF2F2F2"/>
        </patternFill>
      </fill>
    </dxf>
    <dxf>
      <fill>
        <patternFill patternType="solid">
          <fgColor indexed="64"/>
          <bgColor rgb="FFE2EFDA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5E1F-2D9D-4BCF-8982-C130ADB086A6}">
  <dimension ref="A1:L162"/>
  <sheetViews>
    <sheetView tabSelected="1" workbookViewId="0">
      <pane ySplit="5" topLeftCell="A6" activePane="bottomLeft" state="frozen"/>
      <selection pane="bottomLeft" activeCell="D41" sqref="D41"/>
    </sheetView>
  </sheetViews>
  <sheetFormatPr defaultRowHeight="15.75" x14ac:dyDescent="0.25"/>
  <cols>
    <col min="1" max="1" width="14.5" bestFit="1" customWidth="1"/>
    <col min="2" max="2" width="20.625" bestFit="1" customWidth="1"/>
    <col min="3" max="3" width="16.75" bestFit="1" customWidth="1"/>
    <col min="4" max="4" width="23" bestFit="1" customWidth="1"/>
    <col min="5" max="5" width="12" bestFit="1" customWidth="1"/>
    <col min="6" max="6" width="13.25" bestFit="1" customWidth="1"/>
    <col min="7" max="7" width="11.5" bestFit="1" customWidth="1"/>
    <col min="8" max="8" width="16.75" bestFit="1" customWidth="1"/>
    <col min="9" max="9" width="14.75" bestFit="1" customWidth="1"/>
    <col min="10" max="10" width="7.25" bestFit="1" customWidth="1"/>
    <col min="11" max="11" width="25" customWidth="1"/>
    <col min="12" max="12" width="7.5" bestFit="1" customWidth="1"/>
  </cols>
  <sheetData>
    <row r="1" spans="1:12" ht="21" x14ac:dyDescent="0.35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x14ac:dyDescent="0.25">
      <c r="A3" s="11" t="s">
        <v>14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5" spans="1:12" x14ac:dyDescent="0.25">
      <c r="A5" s="1" t="s">
        <v>7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6</v>
      </c>
      <c r="K5" s="1" t="s">
        <v>1</v>
      </c>
      <c r="L5" s="1" t="s">
        <v>10</v>
      </c>
    </row>
    <row r="6" spans="1:12" x14ac:dyDescent="0.25">
      <c r="A6" s="6" t="s">
        <v>23</v>
      </c>
      <c r="B6" s="6" t="s">
        <v>24</v>
      </c>
      <c r="C6" s="6" t="s">
        <v>25</v>
      </c>
      <c r="D6" s="6" t="s">
        <v>26</v>
      </c>
      <c r="E6" s="6" t="s">
        <v>27</v>
      </c>
      <c r="F6" s="6" t="s">
        <v>28</v>
      </c>
      <c r="G6" s="7">
        <v>9289283</v>
      </c>
      <c r="H6" s="8">
        <v>46118.085358796299</v>
      </c>
      <c r="I6" s="6" t="s">
        <v>2</v>
      </c>
      <c r="J6" s="6" t="s">
        <v>9</v>
      </c>
      <c r="K6" s="6"/>
      <c r="L6" s="6" t="s">
        <v>29</v>
      </c>
    </row>
    <row r="7" spans="1:12" x14ac:dyDescent="0.25">
      <c r="A7" t="s">
        <v>30</v>
      </c>
      <c r="B7" t="s">
        <v>3</v>
      </c>
      <c r="C7" t="s">
        <v>31</v>
      </c>
      <c r="D7" t="s">
        <v>32</v>
      </c>
      <c r="E7" t="s">
        <v>33</v>
      </c>
      <c r="G7" s="2">
        <v>2498870</v>
      </c>
      <c r="H7" s="5">
        <v>46103.871782407405</v>
      </c>
      <c r="I7" t="s">
        <v>2</v>
      </c>
      <c r="J7" t="s">
        <v>34</v>
      </c>
      <c r="L7" t="s">
        <v>29</v>
      </c>
    </row>
    <row r="8" spans="1:12" x14ac:dyDescent="0.25">
      <c r="A8" s="6" t="s">
        <v>35</v>
      </c>
      <c r="B8" s="6" t="s">
        <v>36</v>
      </c>
      <c r="C8" s="6" t="s">
        <v>37</v>
      </c>
      <c r="D8" s="6" t="s">
        <v>38</v>
      </c>
      <c r="E8" s="6" t="s">
        <v>33</v>
      </c>
      <c r="F8" s="6"/>
      <c r="G8" s="7">
        <v>1467634</v>
      </c>
      <c r="H8" s="8">
        <v>46112.381377314814</v>
      </c>
      <c r="I8" s="6" t="s">
        <v>39</v>
      </c>
      <c r="J8" s="6" t="s">
        <v>40</v>
      </c>
      <c r="K8" s="6"/>
      <c r="L8" s="6" t="s">
        <v>29</v>
      </c>
    </row>
    <row r="9" spans="1:12" x14ac:dyDescent="0.25">
      <c r="A9" t="s">
        <v>41</v>
      </c>
      <c r="B9" t="s">
        <v>42</v>
      </c>
      <c r="C9" t="s">
        <v>43</v>
      </c>
      <c r="D9" t="s">
        <v>44</v>
      </c>
      <c r="E9" t="s">
        <v>27</v>
      </c>
      <c r="F9" t="s">
        <v>28</v>
      </c>
      <c r="G9" s="2">
        <v>836953</v>
      </c>
      <c r="H9" s="5">
        <v>46117.80709490741</v>
      </c>
      <c r="I9" t="s">
        <v>45</v>
      </c>
      <c r="J9" t="s">
        <v>9</v>
      </c>
      <c r="L9" t="s">
        <v>29</v>
      </c>
    </row>
    <row r="10" spans="1:12" x14ac:dyDescent="0.25">
      <c r="A10" s="6" t="s">
        <v>46</v>
      </c>
      <c r="B10" s="6" t="s">
        <v>47</v>
      </c>
      <c r="C10" s="6" t="s">
        <v>48</v>
      </c>
      <c r="D10" s="6" t="s">
        <v>32</v>
      </c>
      <c r="E10" s="6" t="s">
        <v>49</v>
      </c>
      <c r="F10" s="6" t="s">
        <v>50</v>
      </c>
      <c r="G10" s="7">
        <v>807273</v>
      </c>
      <c r="H10" s="8">
        <v>46118.085277777776</v>
      </c>
      <c r="I10" s="6" t="s">
        <v>2</v>
      </c>
      <c r="J10" s="6" t="s">
        <v>9</v>
      </c>
      <c r="K10" s="6"/>
      <c r="L10" s="6" t="s">
        <v>29</v>
      </c>
    </row>
    <row r="11" spans="1:12" x14ac:dyDescent="0.25">
      <c r="A11" t="s">
        <v>51</v>
      </c>
      <c r="B11" t="s">
        <v>52</v>
      </c>
      <c r="C11" t="s">
        <v>53</v>
      </c>
      <c r="D11" t="s">
        <v>38</v>
      </c>
      <c r="E11" t="s">
        <v>33</v>
      </c>
      <c r="G11" s="2">
        <v>613198</v>
      </c>
      <c r="H11" s="5">
        <v>46114.771365740744</v>
      </c>
      <c r="I11" t="s">
        <v>39</v>
      </c>
      <c r="J11" t="s">
        <v>40</v>
      </c>
      <c r="L11" t="s">
        <v>29</v>
      </c>
    </row>
    <row r="12" spans="1:12" x14ac:dyDescent="0.25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6" t="s">
        <v>50</v>
      </c>
      <c r="G12" s="7">
        <v>429772</v>
      </c>
      <c r="H12" s="8">
        <v>46118.085509259261</v>
      </c>
      <c r="I12" s="6" t="s">
        <v>59</v>
      </c>
      <c r="J12" s="6" t="s">
        <v>9</v>
      </c>
      <c r="K12" s="6"/>
      <c r="L12" s="6" t="s">
        <v>60</v>
      </c>
    </row>
    <row r="13" spans="1:12" x14ac:dyDescent="0.25">
      <c r="A13" t="s">
        <v>61</v>
      </c>
      <c r="B13" t="s">
        <v>62</v>
      </c>
      <c r="C13" t="s">
        <v>63</v>
      </c>
      <c r="D13" t="s">
        <v>64</v>
      </c>
      <c r="E13" t="s">
        <v>49</v>
      </c>
      <c r="F13" t="s">
        <v>50</v>
      </c>
      <c r="G13" s="2">
        <v>411178</v>
      </c>
      <c r="H13" s="5">
        <v>46117.993495370371</v>
      </c>
      <c r="I13" t="s">
        <v>2</v>
      </c>
      <c r="J13" t="s">
        <v>9</v>
      </c>
      <c r="L13" t="s">
        <v>60</v>
      </c>
    </row>
    <row r="14" spans="1:12" x14ac:dyDescent="0.25">
      <c r="A14" s="6" t="s">
        <v>65</v>
      </c>
      <c r="B14" s="6" t="s">
        <v>24</v>
      </c>
      <c r="C14" s="6" t="s">
        <v>66</v>
      </c>
      <c r="D14" s="6" t="s">
        <v>67</v>
      </c>
      <c r="E14" s="6" t="s">
        <v>33</v>
      </c>
      <c r="F14" s="6"/>
      <c r="G14" s="7">
        <v>357155</v>
      </c>
      <c r="H14" s="8">
        <v>46117.813078703701</v>
      </c>
      <c r="I14" s="6" t="s">
        <v>2</v>
      </c>
      <c r="J14" s="6" t="s">
        <v>9</v>
      </c>
      <c r="K14" s="6"/>
      <c r="L14" s="6" t="s">
        <v>60</v>
      </c>
    </row>
    <row r="15" spans="1:12" x14ac:dyDescent="0.25">
      <c r="A15" t="s">
        <v>68</v>
      </c>
      <c r="B15" t="s">
        <v>69</v>
      </c>
      <c r="C15" t="s">
        <v>70</v>
      </c>
      <c r="D15" t="s">
        <v>71</v>
      </c>
      <c r="E15" t="s">
        <v>27</v>
      </c>
      <c r="F15" t="s">
        <v>28</v>
      </c>
      <c r="G15" s="2">
        <v>326064</v>
      </c>
      <c r="H15" s="5">
        <v>46118.084618055553</v>
      </c>
      <c r="I15" t="s">
        <v>72</v>
      </c>
      <c r="J15" t="s">
        <v>9</v>
      </c>
      <c r="L15" t="s">
        <v>60</v>
      </c>
    </row>
    <row r="16" spans="1:12" x14ac:dyDescent="0.25">
      <c r="A16" s="6" t="s">
        <v>73</v>
      </c>
      <c r="B16" s="6" t="s">
        <v>74</v>
      </c>
      <c r="C16" s="6" t="s">
        <v>75</v>
      </c>
      <c r="D16" s="6" t="s">
        <v>76</v>
      </c>
      <c r="E16" s="6" t="s">
        <v>27</v>
      </c>
      <c r="F16" s="6" t="s">
        <v>28</v>
      </c>
      <c r="G16" s="7">
        <v>315315</v>
      </c>
      <c r="H16" s="8">
        <v>46118.084861111114</v>
      </c>
      <c r="I16" s="6" t="s">
        <v>39</v>
      </c>
      <c r="J16" s="6" t="s">
        <v>9</v>
      </c>
      <c r="K16" s="6"/>
      <c r="L16" s="6" t="s">
        <v>60</v>
      </c>
    </row>
    <row r="17" spans="1:12" x14ac:dyDescent="0.25">
      <c r="A17" t="s">
        <v>77</v>
      </c>
      <c r="B17" t="s">
        <v>78</v>
      </c>
      <c r="C17" t="s">
        <v>79</v>
      </c>
      <c r="D17" t="s">
        <v>71</v>
      </c>
      <c r="E17" t="s">
        <v>27</v>
      </c>
      <c r="F17" t="s">
        <v>28</v>
      </c>
      <c r="G17" s="2">
        <v>306098</v>
      </c>
      <c r="H17" s="5">
        <v>46118.084363425929</v>
      </c>
      <c r="I17" t="s">
        <v>80</v>
      </c>
      <c r="J17" t="s">
        <v>9</v>
      </c>
      <c r="L17" t="s">
        <v>60</v>
      </c>
    </row>
    <row r="18" spans="1:12" x14ac:dyDescent="0.25">
      <c r="A18" s="6" t="s">
        <v>81</v>
      </c>
      <c r="B18" s="6" t="s">
        <v>82</v>
      </c>
      <c r="C18" s="6" t="s">
        <v>83</v>
      </c>
      <c r="D18" s="6" t="s">
        <v>71</v>
      </c>
      <c r="E18" s="6" t="s">
        <v>27</v>
      </c>
      <c r="F18" s="6" t="s">
        <v>28</v>
      </c>
      <c r="G18" s="7">
        <v>301949</v>
      </c>
      <c r="H18" s="8">
        <v>46118.084814814814</v>
      </c>
      <c r="I18" s="6" t="s">
        <v>39</v>
      </c>
      <c r="J18" s="6" t="s">
        <v>9</v>
      </c>
      <c r="K18" s="6"/>
      <c r="L18" s="6" t="s">
        <v>60</v>
      </c>
    </row>
    <row r="19" spans="1:12" x14ac:dyDescent="0.25">
      <c r="A19" t="s">
        <v>84</v>
      </c>
      <c r="B19" t="s">
        <v>85</v>
      </c>
      <c r="C19" t="s">
        <v>86</v>
      </c>
      <c r="D19" t="s">
        <v>71</v>
      </c>
      <c r="E19" t="s">
        <v>27</v>
      </c>
      <c r="F19" t="s">
        <v>28</v>
      </c>
      <c r="G19" s="2">
        <v>275673</v>
      </c>
      <c r="H19" s="5">
        <v>46118.082870370374</v>
      </c>
      <c r="I19" t="s">
        <v>80</v>
      </c>
      <c r="J19" t="s">
        <v>9</v>
      </c>
      <c r="L19" t="s">
        <v>60</v>
      </c>
    </row>
    <row r="20" spans="1:12" x14ac:dyDescent="0.25">
      <c r="A20" s="6" t="s">
        <v>87</v>
      </c>
      <c r="B20" s="6" t="s">
        <v>88</v>
      </c>
      <c r="C20" s="6" t="s">
        <v>89</v>
      </c>
      <c r="D20" s="6" t="s">
        <v>90</v>
      </c>
      <c r="E20" s="6" t="s">
        <v>27</v>
      </c>
      <c r="F20" s="6" t="s">
        <v>28</v>
      </c>
      <c r="G20" s="7">
        <v>228244</v>
      </c>
      <c r="H20" s="8">
        <v>46118.085393518515</v>
      </c>
      <c r="I20" s="6" t="s">
        <v>91</v>
      </c>
      <c r="J20" s="6" t="s">
        <v>9</v>
      </c>
      <c r="K20" s="6"/>
      <c r="L20" s="6" t="s">
        <v>60</v>
      </c>
    </row>
    <row r="21" spans="1:12" x14ac:dyDescent="0.25">
      <c r="A21" t="s">
        <v>92</v>
      </c>
      <c r="B21" t="s">
        <v>78</v>
      </c>
      <c r="C21" t="s">
        <v>93</v>
      </c>
      <c r="D21" t="s">
        <v>94</v>
      </c>
      <c r="E21" t="s">
        <v>95</v>
      </c>
      <c r="F21" t="s">
        <v>50</v>
      </c>
      <c r="G21" s="2">
        <v>206848</v>
      </c>
      <c r="H21" s="5">
        <v>46118.085243055553</v>
      </c>
      <c r="I21" t="s">
        <v>2</v>
      </c>
      <c r="J21" t="s">
        <v>9</v>
      </c>
      <c r="L21" t="s">
        <v>60</v>
      </c>
    </row>
    <row r="22" spans="1:12" x14ac:dyDescent="0.25">
      <c r="A22" s="6" t="s">
        <v>96</v>
      </c>
      <c r="B22" s="6" t="s">
        <v>97</v>
      </c>
      <c r="C22" s="6" t="s">
        <v>98</v>
      </c>
      <c r="D22" s="6" t="s">
        <v>71</v>
      </c>
      <c r="E22" s="6" t="s">
        <v>33</v>
      </c>
      <c r="F22" s="6"/>
      <c r="G22" s="7">
        <v>203065</v>
      </c>
      <c r="H22" s="8">
        <v>46116.891631944447</v>
      </c>
      <c r="I22" s="6" t="s">
        <v>80</v>
      </c>
      <c r="J22" s="6" t="s">
        <v>40</v>
      </c>
      <c r="K22" s="6"/>
      <c r="L22" s="6" t="s">
        <v>60</v>
      </c>
    </row>
    <row r="23" spans="1:12" x14ac:dyDescent="0.25">
      <c r="A23" t="s">
        <v>99</v>
      </c>
      <c r="B23" t="s">
        <v>100</v>
      </c>
      <c r="C23" t="s">
        <v>101</v>
      </c>
      <c r="D23" t="s">
        <v>71</v>
      </c>
      <c r="E23" t="s">
        <v>27</v>
      </c>
      <c r="F23" t="s">
        <v>28</v>
      </c>
      <c r="G23" s="2">
        <v>197266</v>
      </c>
      <c r="H23" s="5">
        <v>46118.085185185184</v>
      </c>
      <c r="I23" t="s">
        <v>102</v>
      </c>
      <c r="J23" t="s">
        <v>9</v>
      </c>
      <c r="L23" t="s">
        <v>60</v>
      </c>
    </row>
    <row r="24" spans="1:12" x14ac:dyDescent="0.25">
      <c r="A24" s="6" t="s">
        <v>103</v>
      </c>
      <c r="B24" s="6" t="s">
        <v>104</v>
      </c>
      <c r="C24" s="6" t="s">
        <v>105</v>
      </c>
      <c r="D24" s="6" t="s">
        <v>90</v>
      </c>
      <c r="E24" s="6" t="s">
        <v>27</v>
      </c>
      <c r="F24" s="6" t="s">
        <v>28</v>
      </c>
      <c r="G24" s="7">
        <v>194385</v>
      </c>
      <c r="H24" s="8">
        <v>46118.085509259261</v>
      </c>
      <c r="I24" s="6" t="s">
        <v>2</v>
      </c>
      <c r="J24" s="6" t="s">
        <v>9</v>
      </c>
      <c r="K24" s="6"/>
      <c r="L24" s="6" t="s">
        <v>60</v>
      </c>
    </row>
    <row r="25" spans="1:12" x14ac:dyDescent="0.25">
      <c r="A25" t="s">
        <v>106</v>
      </c>
      <c r="B25" t="s">
        <v>42</v>
      </c>
      <c r="C25" t="s">
        <v>107</v>
      </c>
      <c r="D25" t="s">
        <v>108</v>
      </c>
      <c r="E25" t="s">
        <v>95</v>
      </c>
      <c r="F25" t="s">
        <v>50</v>
      </c>
      <c r="G25" s="2">
        <v>172339</v>
      </c>
      <c r="H25" s="5">
        <v>46118.044178240743</v>
      </c>
      <c r="I25" t="s">
        <v>109</v>
      </c>
      <c r="J25" t="s">
        <v>9</v>
      </c>
      <c r="L25" t="s">
        <v>60</v>
      </c>
    </row>
    <row r="26" spans="1:12" x14ac:dyDescent="0.25">
      <c r="A26" s="6" t="s">
        <v>110</v>
      </c>
      <c r="B26" s="6" t="s">
        <v>111</v>
      </c>
      <c r="C26" s="6" t="s">
        <v>112</v>
      </c>
      <c r="D26" s="6" t="s">
        <v>71</v>
      </c>
      <c r="E26" s="6" t="s">
        <v>27</v>
      </c>
      <c r="F26" s="6" t="s">
        <v>28</v>
      </c>
      <c r="G26" s="7">
        <v>161344</v>
      </c>
      <c r="H26" s="8">
        <v>46118.085393518515</v>
      </c>
      <c r="I26" s="6" t="s">
        <v>80</v>
      </c>
      <c r="J26" s="6" t="s">
        <v>9</v>
      </c>
      <c r="K26" s="6"/>
      <c r="L26" s="6" t="s">
        <v>60</v>
      </c>
    </row>
    <row r="27" spans="1:12" x14ac:dyDescent="0.25">
      <c r="A27" t="s">
        <v>113</v>
      </c>
      <c r="B27" t="s">
        <v>114</v>
      </c>
      <c r="C27" t="s">
        <v>115</v>
      </c>
      <c r="D27" t="s">
        <v>71</v>
      </c>
      <c r="E27" t="s">
        <v>49</v>
      </c>
      <c r="F27" t="s">
        <v>50</v>
      </c>
      <c r="G27" s="2">
        <v>153006</v>
      </c>
      <c r="H27" s="5">
        <v>46118.085243055553</v>
      </c>
      <c r="I27" t="s">
        <v>59</v>
      </c>
      <c r="J27" t="s">
        <v>9</v>
      </c>
      <c r="L27" t="s">
        <v>60</v>
      </c>
    </row>
    <row r="28" spans="1:12" x14ac:dyDescent="0.25">
      <c r="A28" s="6" t="s">
        <v>116</v>
      </c>
      <c r="B28" s="6" t="s">
        <v>117</v>
      </c>
      <c r="C28" s="6" t="s">
        <v>118</v>
      </c>
      <c r="D28" s="6" t="s">
        <v>119</v>
      </c>
      <c r="E28" s="6" t="s">
        <v>27</v>
      </c>
      <c r="F28" s="6" t="s">
        <v>28</v>
      </c>
      <c r="G28" s="7">
        <v>146729</v>
      </c>
      <c r="H28" s="8">
        <v>46118.076273148145</v>
      </c>
      <c r="I28" s="6" t="s">
        <v>2</v>
      </c>
      <c r="J28" s="6" t="s">
        <v>9</v>
      </c>
      <c r="K28" s="6"/>
      <c r="L28" s="6" t="s">
        <v>60</v>
      </c>
    </row>
    <row r="29" spans="1:12" x14ac:dyDescent="0.25">
      <c r="A29" t="s">
        <v>120</v>
      </c>
      <c r="B29" t="s">
        <v>121</v>
      </c>
      <c r="C29" t="s">
        <v>122</v>
      </c>
      <c r="D29" t="s">
        <v>67</v>
      </c>
      <c r="E29" t="s">
        <v>49</v>
      </c>
      <c r="F29" t="s">
        <v>50</v>
      </c>
      <c r="G29" s="2">
        <v>135294</v>
      </c>
      <c r="H29" s="5">
        <v>46118.083240740743</v>
      </c>
      <c r="I29" t="s">
        <v>102</v>
      </c>
      <c r="J29" t="s">
        <v>9</v>
      </c>
      <c r="L29" t="s">
        <v>60</v>
      </c>
    </row>
    <row r="30" spans="1:12" x14ac:dyDescent="0.25">
      <c r="A30" s="6" t="s">
        <v>123</v>
      </c>
      <c r="B30" s="6" t="s">
        <v>69</v>
      </c>
      <c r="C30" s="6" t="s">
        <v>124</v>
      </c>
      <c r="D30" s="6" t="s">
        <v>44</v>
      </c>
      <c r="E30" s="6" t="s">
        <v>27</v>
      </c>
      <c r="F30" s="6" t="s">
        <v>28</v>
      </c>
      <c r="G30" s="7">
        <v>106227</v>
      </c>
      <c r="H30" s="8">
        <v>46116.889733796299</v>
      </c>
      <c r="I30" s="6" t="s">
        <v>72</v>
      </c>
      <c r="J30" s="6" t="s">
        <v>40</v>
      </c>
      <c r="K30" s="6"/>
      <c r="L30" s="6" t="s">
        <v>60</v>
      </c>
    </row>
    <row r="31" spans="1:12" x14ac:dyDescent="0.25">
      <c r="A31" t="s">
        <v>125</v>
      </c>
      <c r="B31" t="s">
        <v>117</v>
      </c>
      <c r="C31" t="s">
        <v>126</v>
      </c>
      <c r="D31" t="s">
        <v>127</v>
      </c>
      <c r="E31" t="s">
        <v>33</v>
      </c>
      <c r="G31" s="2">
        <v>104052</v>
      </c>
      <c r="H31" s="5">
        <v>46117.108310185184</v>
      </c>
      <c r="I31" t="s">
        <v>2</v>
      </c>
      <c r="J31" t="s">
        <v>9</v>
      </c>
      <c r="L31" t="s">
        <v>60</v>
      </c>
    </row>
    <row r="32" spans="1:12" x14ac:dyDescent="0.25">
      <c r="A32" s="6" t="s">
        <v>128</v>
      </c>
      <c r="B32" s="6" t="s">
        <v>88</v>
      </c>
      <c r="C32" s="6" t="s">
        <v>129</v>
      </c>
      <c r="D32" s="6" t="s">
        <v>130</v>
      </c>
      <c r="E32" s="6" t="s">
        <v>27</v>
      </c>
      <c r="F32" s="6" t="s">
        <v>28</v>
      </c>
      <c r="G32" s="7">
        <v>80512</v>
      </c>
      <c r="H32" s="8">
        <v>46118.04314814815</v>
      </c>
      <c r="I32" s="6" t="s">
        <v>91</v>
      </c>
      <c r="J32" s="6" t="s">
        <v>9</v>
      </c>
      <c r="K32" s="6"/>
      <c r="L32" s="6" t="s">
        <v>131</v>
      </c>
    </row>
    <row r="33" spans="1:12" x14ac:dyDescent="0.25">
      <c r="A33" t="s">
        <v>132</v>
      </c>
      <c r="B33" t="s">
        <v>133</v>
      </c>
      <c r="C33" t="s">
        <v>11</v>
      </c>
      <c r="D33" t="s">
        <v>134</v>
      </c>
      <c r="E33" t="s">
        <v>33</v>
      </c>
      <c r="G33" s="2">
        <v>78007</v>
      </c>
      <c r="H33" s="5">
        <v>46118.003564814811</v>
      </c>
      <c r="I33" t="s">
        <v>135</v>
      </c>
      <c r="J33" t="s">
        <v>9</v>
      </c>
      <c r="L33" t="s">
        <v>131</v>
      </c>
    </row>
    <row r="34" spans="1:12" x14ac:dyDescent="0.25">
      <c r="A34" s="6" t="s">
        <v>136</v>
      </c>
      <c r="B34" s="6" t="s">
        <v>82</v>
      </c>
      <c r="C34" s="6" t="s">
        <v>137</v>
      </c>
      <c r="D34" s="6" t="s">
        <v>138</v>
      </c>
      <c r="E34" s="6" t="s">
        <v>33</v>
      </c>
      <c r="F34" s="6"/>
      <c r="G34" s="7">
        <v>70392</v>
      </c>
      <c r="H34" s="8">
        <v>46117.474074074074</v>
      </c>
      <c r="I34" s="6" t="s">
        <v>39</v>
      </c>
      <c r="J34" s="6" t="s">
        <v>9</v>
      </c>
      <c r="K34" s="6"/>
      <c r="L34" s="6" t="s">
        <v>131</v>
      </c>
    </row>
    <row r="35" spans="1:12" x14ac:dyDescent="0.25">
      <c r="A35" t="s">
        <v>139</v>
      </c>
      <c r="B35" t="s">
        <v>117</v>
      </c>
      <c r="C35" t="s">
        <v>140</v>
      </c>
      <c r="D35" t="s">
        <v>71</v>
      </c>
      <c r="E35" t="s">
        <v>27</v>
      </c>
      <c r="F35" t="s">
        <v>28</v>
      </c>
      <c r="G35" s="2">
        <v>65784</v>
      </c>
      <c r="H35" s="5">
        <v>46118.082071759258</v>
      </c>
      <c r="I35" t="s">
        <v>80</v>
      </c>
      <c r="J35" t="s">
        <v>9</v>
      </c>
      <c r="L35" t="s">
        <v>131</v>
      </c>
    </row>
    <row r="36" spans="1:12" x14ac:dyDescent="0.25">
      <c r="A36" s="6" t="s">
        <v>141</v>
      </c>
      <c r="B36" s="6" t="s">
        <v>142</v>
      </c>
      <c r="C36" s="6" t="s">
        <v>143</v>
      </c>
      <c r="D36" s="6" t="s">
        <v>144</v>
      </c>
      <c r="E36" s="6" t="s">
        <v>27</v>
      </c>
      <c r="F36" s="6" t="s">
        <v>28</v>
      </c>
      <c r="G36" s="7">
        <v>53635</v>
      </c>
      <c r="H36" s="8">
        <v>46118.079768518517</v>
      </c>
      <c r="I36" s="6" t="s">
        <v>135</v>
      </c>
      <c r="J36" s="6" t="s">
        <v>9</v>
      </c>
      <c r="K36" s="6"/>
      <c r="L36" s="6" t="s">
        <v>131</v>
      </c>
    </row>
    <row r="37" spans="1:12" x14ac:dyDescent="0.25">
      <c r="A37" t="s">
        <v>145</v>
      </c>
      <c r="B37" t="s">
        <v>146</v>
      </c>
      <c r="C37" t="s">
        <v>147</v>
      </c>
      <c r="D37" t="s">
        <v>108</v>
      </c>
      <c r="E37" t="s">
        <v>27</v>
      </c>
      <c r="F37" t="s">
        <v>28</v>
      </c>
      <c r="G37" s="2">
        <v>49349</v>
      </c>
      <c r="H37" s="5">
        <v>46118.082824074074</v>
      </c>
      <c r="I37" t="s">
        <v>148</v>
      </c>
      <c r="J37" t="s">
        <v>9</v>
      </c>
      <c r="L37" t="s">
        <v>131</v>
      </c>
    </row>
    <row r="38" spans="1:12" x14ac:dyDescent="0.25">
      <c r="A38" s="6" t="s">
        <v>149</v>
      </c>
      <c r="B38" s="6" t="s">
        <v>150</v>
      </c>
      <c r="C38" s="6" t="s">
        <v>151</v>
      </c>
      <c r="D38" s="6" t="s">
        <v>108</v>
      </c>
      <c r="E38" s="6" t="s">
        <v>27</v>
      </c>
      <c r="F38" s="6" t="s">
        <v>28</v>
      </c>
      <c r="G38" s="7">
        <v>48952</v>
      </c>
      <c r="H38" s="8">
        <v>46118.084317129629</v>
      </c>
      <c r="I38" s="6" t="s">
        <v>91</v>
      </c>
      <c r="J38" s="6" t="s">
        <v>9</v>
      </c>
      <c r="K38" s="6"/>
      <c r="L38" s="6" t="s">
        <v>131</v>
      </c>
    </row>
    <row r="39" spans="1:12" x14ac:dyDescent="0.25">
      <c r="A39" t="s">
        <v>152</v>
      </c>
      <c r="B39" t="s">
        <v>153</v>
      </c>
      <c r="C39" t="s">
        <v>154</v>
      </c>
      <c r="D39" t="s">
        <v>108</v>
      </c>
      <c r="E39" t="s">
        <v>27</v>
      </c>
      <c r="F39" t="s">
        <v>28</v>
      </c>
      <c r="G39" s="2">
        <v>47339</v>
      </c>
      <c r="H39" s="5">
        <v>46118.080752314818</v>
      </c>
      <c r="I39" t="s">
        <v>155</v>
      </c>
      <c r="J39" t="s">
        <v>9</v>
      </c>
      <c r="L39" t="s">
        <v>131</v>
      </c>
    </row>
    <row r="40" spans="1:12" x14ac:dyDescent="0.25">
      <c r="A40" s="6" t="s">
        <v>156</v>
      </c>
      <c r="B40" s="6" t="s">
        <v>157</v>
      </c>
      <c r="C40" s="6" t="s">
        <v>158</v>
      </c>
      <c r="D40" s="6" t="s">
        <v>159</v>
      </c>
      <c r="E40" s="6" t="s">
        <v>27</v>
      </c>
      <c r="F40" s="6" t="s">
        <v>28</v>
      </c>
      <c r="G40" s="7">
        <v>47210</v>
      </c>
      <c r="H40" s="8">
        <v>46118.085196759261</v>
      </c>
      <c r="I40" s="6" t="s">
        <v>2</v>
      </c>
      <c r="J40" s="6" t="s">
        <v>9</v>
      </c>
      <c r="K40" s="6"/>
      <c r="L40" s="6" t="s">
        <v>131</v>
      </c>
    </row>
    <row r="41" spans="1:12" x14ac:dyDescent="0.25">
      <c r="A41" t="s">
        <v>160</v>
      </c>
      <c r="B41" t="s">
        <v>153</v>
      </c>
      <c r="C41" t="s">
        <v>161</v>
      </c>
      <c r="D41" t="s">
        <v>108</v>
      </c>
      <c r="E41" t="s">
        <v>27</v>
      </c>
      <c r="F41" t="s">
        <v>28</v>
      </c>
      <c r="G41" s="2">
        <v>45728</v>
      </c>
      <c r="H41" s="5">
        <v>46118.085069444445</v>
      </c>
      <c r="I41" t="s">
        <v>155</v>
      </c>
      <c r="J41" t="s">
        <v>9</v>
      </c>
      <c r="L41" t="s">
        <v>131</v>
      </c>
    </row>
    <row r="42" spans="1:12" x14ac:dyDescent="0.25">
      <c r="A42" s="6" t="s">
        <v>162</v>
      </c>
      <c r="B42" s="6" t="s">
        <v>163</v>
      </c>
      <c r="C42" s="6" t="s">
        <v>164</v>
      </c>
      <c r="D42" s="6" t="s">
        <v>108</v>
      </c>
      <c r="E42" s="6" t="s">
        <v>27</v>
      </c>
      <c r="F42" s="6" t="s">
        <v>28</v>
      </c>
      <c r="G42" s="7">
        <v>41726</v>
      </c>
      <c r="H42" s="8">
        <v>46118.083692129629</v>
      </c>
      <c r="I42" s="6" t="s">
        <v>155</v>
      </c>
      <c r="J42" s="6" t="s">
        <v>9</v>
      </c>
      <c r="K42" s="6"/>
      <c r="L42" s="6" t="s">
        <v>131</v>
      </c>
    </row>
    <row r="43" spans="1:12" x14ac:dyDescent="0.25">
      <c r="A43" t="s">
        <v>165</v>
      </c>
      <c r="B43" t="s">
        <v>121</v>
      </c>
      <c r="C43" t="s">
        <v>166</v>
      </c>
      <c r="D43" t="s">
        <v>130</v>
      </c>
      <c r="E43" t="s">
        <v>33</v>
      </c>
      <c r="G43" s="2">
        <v>37809</v>
      </c>
      <c r="H43" s="5">
        <v>46118.032800925925</v>
      </c>
      <c r="I43" t="s">
        <v>102</v>
      </c>
      <c r="J43" t="s">
        <v>9</v>
      </c>
      <c r="L43" t="s">
        <v>131</v>
      </c>
    </row>
    <row r="44" spans="1:12" x14ac:dyDescent="0.25">
      <c r="A44" s="6" t="s">
        <v>167</v>
      </c>
      <c r="B44" s="6" t="s">
        <v>168</v>
      </c>
      <c r="C44" s="6" t="s">
        <v>169</v>
      </c>
      <c r="D44" s="6" t="s">
        <v>108</v>
      </c>
      <c r="E44" s="6" t="s">
        <v>27</v>
      </c>
      <c r="F44" s="6" t="s">
        <v>28</v>
      </c>
      <c r="G44" s="7">
        <v>35606</v>
      </c>
      <c r="H44" s="8">
        <v>46118.078611111108</v>
      </c>
      <c r="I44" s="6" t="s">
        <v>155</v>
      </c>
      <c r="J44" s="6" t="s">
        <v>9</v>
      </c>
      <c r="K44" s="6"/>
      <c r="L44" s="6" t="s">
        <v>131</v>
      </c>
    </row>
    <row r="45" spans="1:12" x14ac:dyDescent="0.25">
      <c r="A45" t="s">
        <v>170</v>
      </c>
      <c r="B45" t="s">
        <v>55</v>
      </c>
      <c r="C45" t="s">
        <v>171</v>
      </c>
      <c r="D45" t="s">
        <v>172</v>
      </c>
      <c r="E45" t="s">
        <v>33</v>
      </c>
      <c r="G45" s="2">
        <v>33423</v>
      </c>
      <c r="H45" s="5">
        <v>46118.03502314815</v>
      </c>
      <c r="I45" t="s">
        <v>59</v>
      </c>
      <c r="J45" t="s">
        <v>9</v>
      </c>
      <c r="L45" t="s">
        <v>131</v>
      </c>
    </row>
    <row r="46" spans="1:12" x14ac:dyDescent="0.25">
      <c r="A46" s="6" t="s">
        <v>173</v>
      </c>
      <c r="B46" s="6" t="s">
        <v>121</v>
      </c>
      <c r="C46" s="6" t="s">
        <v>174</v>
      </c>
      <c r="D46" s="6" t="s">
        <v>108</v>
      </c>
      <c r="E46" s="6" t="s">
        <v>27</v>
      </c>
      <c r="F46" s="6" t="s">
        <v>28</v>
      </c>
      <c r="G46" s="7">
        <v>32113</v>
      </c>
      <c r="H46" s="8">
        <v>46118.078981481478</v>
      </c>
      <c r="I46" s="6" t="s">
        <v>102</v>
      </c>
      <c r="J46" s="6" t="s">
        <v>9</v>
      </c>
      <c r="K46" s="6"/>
      <c r="L46" s="6" t="s">
        <v>131</v>
      </c>
    </row>
    <row r="47" spans="1:12" x14ac:dyDescent="0.25">
      <c r="A47" t="s">
        <v>175</v>
      </c>
      <c r="B47" t="s">
        <v>176</v>
      </c>
      <c r="C47" t="s">
        <v>177</v>
      </c>
      <c r="D47" t="s">
        <v>108</v>
      </c>
      <c r="E47" t="s">
        <v>27</v>
      </c>
      <c r="F47" t="s">
        <v>28</v>
      </c>
      <c r="G47" s="2">
        <v>30937</v>
      </c>
      <c r="H47" s="5">
        <v>46118.062037037038</v>
      </c>
      <c r="I47" t="s">
        <v>109</v>
      </c>
      <c r="J47" t="s">
        <v>9</v>
      </c>
      <c r="L47" t="s">
        <v>131</v>
      </c>
    </row>
    <row r="48" spans="1:12" x14ac:dyDescent="0.25">
      <c r="A48" s="6" t="s">
        <v>178</v>
      </c>
      <c r="B48" s="6" t="s">
        <v>179</v>
      </c>
      <c r="C48" s="6" t="s">
        <v>180</v>
      </c>
      <c r="D48" s="6" t="s">
        <v>172</v>
      </c>
      <c r="E48" s="6" t="s">
        <v>33</v>
      </c>
      <c r="F48" s="6"/>
      <c r="G48" s="7">
        <v>30250</v>
      </c>
      <c r="H48" s="8">
        <v>46118.033958333333</v>
      </c>
      <c r="I48" s="6" t="s">
        <v>45</v>
      </c>
      <c r="J48" s="6" t="s">
        <v>9</v>
      </c>
      <c r="K48" s="6"/>
      <c r="L48" s="6" t="s">
        <v>131</v>
      </c>
    </row>
    <row r="49" spans="1:12" x14ac:dyDescent="0.25">
      <c r="A49" t="s">
        <v>181</v>
      </c>
      <c r="B49" t="s">
        <v>69</v>
      </c>
      <c r="C49" t="s">
        <v>182</v>
      </c>
      <c r="D49" t="s">
        <v>108</v>
      </c>
      <c r="E49" t="s">
        <v>27</v>
      </c>
      <c r="F49" t="s">
        <v>28</v>
      </c>
      <c r="G49" s="2">
        <v>29723</v>
      </c>
      <c r="H49" s="5">
        <v>46118.082141203704</v>
      </c>
      <c r="I49" t="s">
        <v>72</v>
      </c>
      <c r="J49" t="s">
        <v>9</v>
      </c>
      <c r="L49" t="s">
        <v>131</v>
      </c>
    </row>
    <row r="50" spans="1:12" x14ac:dyDescent="0.25">
      <c r="A50" s="6" t="s">
        <v>183</v>
      </c>
      <c r="B50" s="6" t="s">
        <v>184</v>
      </c>
      <c r="C50" s="6" t="s">
        <v>185</v>
      </c>
      <c r="D50" s="6" t="s">
        <v>134</v>
      </c>
      <c r="E50" s="6" t="s">
        <v>33</v>
      </c>
      <c r="F50" s="6"/>
      <c r="G50" s="7">
        <v>29126</v>
      </c>
      <c r="H50" s="8">
        <v>46117.798761574071</v>
      </c>
      <c r="I50" s="6" t="s">
        <v>186</v>
      </c>
      <c r="J50" s="6" t="s">
        <v>9</v>
      </c>
      <c r="K50" s="6"/>
      <c r="L50" s="6" t="s">
        <v>131</v>
      </c>
    </row>
    <row r="51" spans="1:12" x14ac:dyDescent="0.25">
      <c r="A51" t="s">
        <v>187</v>
      </c>
      <c r="B51" t="s">
        <v>133</v>
      </c>
      <c r="C51" t="s">
        <v>188</v>
      </c>
      <c r="D51" t="s">
        <v>138</v>
      </c>
      <c r="E51" t="s">
        <v>33</v>
      </c>
      <c r="G51" s="2">
        <v>28876</v>
      </c>
      <c r="H51" s="5">
        <v>46111.698935185188</v>
      </c>
      <c r="I51" t="s">
        <v>135</v>
      </c>
      <c r="J51" t="s">
        <v>40</v>
      </c>
      <c r="L51" t="s">
        <v>131</v>
      </c>
    </row>
    <row r="52" spans="1:12" x14ac:dyDescent="0.25">
      <c r="A52" s="6" t="s">
        <v>189</v>
      </c>
      <c r="B52" s="6" t="s">
        <v>190</v>
      </c>
      <c r="C52" s="6" t="s">
        <v>191</v>
      </c>
      <c r="D52" s="6" t="s">
        <v>108</v>
      </c>
      <c r="E52" s="6" t="s">
        <v>27</v>
      </c>
      <c r="F52" s="6" t="s">
        <v>28</v>
      </c>
      <c r="G52" s="7">
        <v>27383</v>
      </c>
      <c r="H52" s="8">
        <v>46118.079687500001</v>
      </c>
      <c r="I52" s="6" t="s">
        <v>155</v>
      </c>
      <c r="J52" s="6" t="s">
        <v>9</v>
      </c>
      <c r="K52" s="6"/>
      <c r="L52" s="6" t="s">
        <v>131</v>
      </c>
    </row>
    <row r="53" spans="1:12" x14ac:dyDescent="0.25">
      <c r="A53" t="s">
        <v>192</v>
      </c>
      <c r="B53" t="s">
        <v>153</v>
      </c>
      <c r="C53" t="s">
        <v>193</v>
      </c>
      <c r="D53" t="s">
        <v>108</v>
      </c>
      <c r="E53" t="s">
        <v>27</v>
      </c>
      <c r="F53" t="s">
        <v>28</v>
      </c>
      <c r="G53" s="2">
        <v>27249</v>
      </c>
      <c r="H53" s="5">
        <v>46118.079108796293</v>
      </c>
      <c r="I53" t="s">
        <v>155</v>
      </c>
      <c r="J53" t="s">
        <v>9</v>
      </c>
      <c r="L53" t="s">
        <v>131</v>
      </c>
    </row>
    <row r="54" spans="1:12" x14ac:dyDescent="0.25">
      <c r="A54" s="6" t="s">
        <v>194</v>
      </c>
      <c r="B54" s="6" t="s">
        <v>104</v>
      </c>
      <c r="C54" s="6" t="s">
        <v>195</v>
      </c>
      <c r="D54" s="6" t="s">
        <v>76</v>
      </c>
      <c r="E54" s="6" t="s">
        <v>27</v>
      </c>
      <c r="F54" s="6" t="s">
        <v>28</v>
      </c>
      <c r="G54" s="7">
        <v>26155</v>
      </c>
      <c r="H54" s="8">
        <v>46118.085162037038</v>
      </c>
      <c r="I54" s="6" t="s">
        <v>2</v>
      </c>
      <c r="J54" s="6" t="s">
        <v>9</v>
      </c>
      <c r="K54" s="6"/>
      <c r="L54" s="6" t="s">
        <v>131</v>
      </c>
    </row>
    <row r="55" spans="1:12" x14ac:dyDescent="0.25">
      <c r="A55" t="s">
        <v>196</v>
      </c>
      <c r="B55" t="s">
        <v>168</v>
      </c>
      <c r="C55" t="s">
        <v>197</v>
      </c>
      <c r="D55" t="s">
        <v>108</v>
      </c>
      <c r="E55" t="s">
        <v>27</v>
      </c>
      <c r="F55" t="s">
        <v>28</v>
      </c>
      <c r="G55" s="2">
        <v>25614</v>
      </c>
      <c r="H55" s="5">
        <v>46118.081747685188</v>
      </c>
      <c r="I55" t="s">
        <v>155</v>
      </c>
      <c r="J55" t="s">
        <v>9</v>
      </c>
      <c r="L55" t="s">
        <v>131</v>
      </c>
    </row>
    <row r="56" spans="1:12" x14ac:dyDescent="0.25">
      <c r="A56" s="6" t="s">
        <v>198</v>
      </c>
      <c r="B56" s="6" t="s">
        <v>163</v>
      </c>
      <c r="C56" s="6" t="s">
        <v>199</v>
      </c>
      <c r="D56" s="6" t="s">
        <v>108</v>
      </c>
      <c r="E56" s="6" t="s">
        <v>27</v>
      </c>
      <c r="F56" s="6" t="s">
        <v>28</v>
      </c>
      <c r="G56" s="7">
        <v>25281</v>
      </c>
      <c r="H56" s="8">
        <v>46118.084641203706</v>
      </c>
      <c r="I56" s="6" t="s">
        <v>155</v>
      </c>
      <c r="J56" s="6" t="s">
        <v>9</v>
      </c>
      <c r="K56" s="6"/>
      <c r="L56" s="6" t="s">
        <v>131</v>
      </c>
    </row>
    <row r="57" spans="1:12" x14ac:dyDescent="0.25">
      <c r="A57" t="s">
        <v>200</v>
      </c>
      <c r="B57" t="s">
        <v>201</v>
      </c>
      <c r="C57" t="s">
        <v>202</v>
      </c>
      <c r="D57" t="s">
        <v>203</v>
      </c>
      <c r="E57" t="s">
        <v>27</v>
      </c>
      <c r="F57" t="s">
        <v>28</v>
      </c>
      <c r="G57" s="2">
        <v>25015</v>
      </c>
      <c r="H57" s="5">
        <v>46116.889386574076</v>
      </c>
      <c r="I57" t="s">
        <v>109</v>
      </c>
      <c r="J57" t="s">
        <v>40</v>
      </c>
      <c r="L57" t="s">
        <v>131</v>
      </c>
    </row>
    <row r="58" spans="1:12" x14ac:dyDescent="0.25">
      <c r="A58" s="6" t="s">
        <v>204</v>
      </c>
      <c r="B58" s="6" t="s">
        <v>205</v>
      </c>
      <c r="C58" s="6" t="s">
        <v>206</v>
      </c>
      <c r="D58" s="6" t="s">
        <v>172</v>
      </c>
      <c r="E58" s="6" t="s">
        <v>33</v>
      </c>
      <c r="F58" s="6"/>
      <c r="G58" s="7">
        <v>22565</v>
      </c>
      <c r="H58" s="8">
        <v>46118.062916666669</v>
      </c>
      <c r="I58" s="6" t="s">
        <v>148</v>
      </c>
      <c r="J58" s="6" t="s">
        <v>9</v>
      </c>
      <c r="K58" s="6"/>
      <c r="L58" s="6" t="s">
        <v>131</v>
      </c>
    </row>
    <row r="59" spans="1:12" x14ac:dyDescent="0.25">
      <c r="A59" t="s">
        <v>207</v>
      </c>
      <c r="B59" t="s">
        <v>104</v>
      </c>
      <c r="C59" t="s">
        <v>208</v>
      </c>
      <c r="D59" t="s">
        <v>209</v>
      </c>
      <c r="E59" t="s">
        <v>27</v>
      </c>
      <c r="F59" t="s">
        <v>28</v>
      </c>
      <c r="G59" s="2">
        <v>19414</v>
      </c>
      <c r="H59" s="5">
        <v>46118.047569444447</v>
      </c>
      <c r="I59" t="s">
        <v>2</v>
      </c>
      <c r="J59" t="s">
        <v>9</v>
      </c>
      <c r="L59" t="s">
        <v>131</v>
      </c>
    </row>
    <row r="60" spans="1:12" x14ac:dyDescent="0.25">
      <c r="A60" s="6" t="s">
        <v>210</v>
      </c>
      <c r="B60" s="6" t="s">
        <v>62</v>
      </c>
      <c r="C60" s="6" t="s">
        <v>211</v>
      </c>
      <c r="D60" s="6" t="s">
        <v>108</v>
      </c>
      <c r="E60" s="6" t="s">
        <v>27</v>
      </c>
      <c r="F60" s="6" t="s">
        <v>28</v>
      </c>
      <c r="G60" s="7">
        <v>19246</v>
      </c>
      <c r="H60" s="8">
        <v>46118.081504629627</v>
      </c>
      <c r="I60" s="6" t="s">
        <v>155</v>
      </c>
      <c r="J60" s="6" t="s">
        <v>9</v>
      </c>
      <c r="K60" s="6"/>
      <c r="L60" s="6" t="s">
        <v>131</v>
      </c>
    </row>
    <row r="61" spans="1:12" x14ac:dyDescent="0.25">
      <c r="A61" t="s">
        <v>212</v>
      </c>
      <c r="B61" t="s">
        <v>74</v>
      </c>
      <c r="C61" t="s">
        <v>213</v>
      </c>
      <c r="D61" t="s">
        <v>214</v>
      </c>
      <c r="E61" t="s">
        <v>27</v>
      </c>
      <c r="F61" t="s">
        <v>28</v>
      </c>
      <c r="G61" s="2">
        <v>18053</v>
      </c>
      <c r="H61" s="5">
        <v>46118.06590277778</v>
      </c>
      <c r="I61" t="s">
        <v>39</v>
      </c>
      <c r="J61" t="s">
        <v>9</v>
      </c>
      <c r="L61" t="s">
        <v>131</v>
      </c>
    </row>
    <row r="62" spans="1:12" x14ac:dyDescent="0.25">
      <c r="A62" s="6" t="s">
        <v>215</v>
      </c>
      <c r="B62" s="6" t="s">
        <v>176</v>
      </c>
      <c r="C62" s="6" t="s">
        <v>216</v>
      </c>
      <c r="D62" s="6" t="s">
        <v>209</v>
      </c>
      <c r="E62" s="6" t="s">
        <v>33</v>
      </c>
      <c r="F62" s="6"/>
      <c r="G62" s="7">
        <v>17422</v>
      </c>
      <c r="H62" s="8">
        <v>46118.074490740742</v>
      </c>
      <c r="I62" s="6" t="s">
        <v>109</v>
      </c>
      <c r="J62" s="6" t="s">
        <v>9</v>
      </c>
      <c r="K62" s="6"/>
      <c r="L62" s="6" t="s">
        <v>131</v>
      </c>
    </row>
    <row r="63" spans="1:12" x14ac:dyDescent="0.25">
      <c r="A63" t="s">
        <v>217</v>
      </c>
      <c r="B63" t="s">
        <v>218</v>
      </c>
      <c r="C63" t="s">
        <v>219</v>
      </c>
      <c r="D63" t="s">
        <v>108</v>
      </c>
      <c r="E63" t="s">
        <v>27</v>
      </c>
      <c r="F63" t="s">
        <v>28</v>
      </c>
      <c r="G63" s="2">
        <v>17136</v>
      </c>
      <c r="H63" s="5">
        <v>46118.085104166668</v>
      </c>
      <c r="I63" t="s">
        <v>155</v>
      </c>
      <c r="J63" t="s">
        <v>9</v>
      </c>
      <c r="L63" t="s">
        <v>131</v>
      </c>
    </row>
    <row r="64" spans="1:12" x14ac:dyDescent="0.25">
      <c r="A64" s="6" t="s">
        <v>220</v>
      </c>
      <c r="B64" s="6" t="s">
        <v>36</v>
      </c>
      <c r="C64" s="6" t="s">
        <v>221</v>
      </c>
      <c r="D64" s="6" t="s">
        <v>214</v>
      </c>
      <c r="E64" s="6" t="s">
        <v>27</v>
      </c>
      <c r="F64" s="6" t="s">
        <v>28</v>
      </c>
      <c r="G64" s="7">
        <v>15530</v>
      </c>
      <c r="H64" s="8">
        <v>46118.079953703702</v>
      </c>
      <c r="I64" s="6" t="s">
        <v>39</v>
      </c>
      <c r="J64" s="6" t="s">
        <v>9</v>
      </c>
      <c r="K64" s="6"/>
      <c r="L64" s="6" t="s">
        <v>131</v>
      </c>
    </row>
    <row r="65" spans="1:12" x14ac:dyDescent="0.25">
      <c r="A65" t="s">
        <v>222</v>
      </c>
      <c r="B65" t="s">
        <v>121</v>
      </c>
      <c r="C65" t="s">
        <v>223</v>
      </c>
      <c r="D65" t="s">
        <v>214</v>
      </c>
      <c r="E65" t="s">
        <v>27</v>
      </c>
      <c r="F65" t="s">
        <v>28</v>
      </c>
      <c r="G65" s="2">
        <v>15445</v>
      </c>
      <c r="H65" s="5">
        <v>46108.954085648147</v>
      </c>
      <c r="I65" t="s">
        <v>148</v>
      </c>
      <c r="J65" t="s">
        <v>34</v>
      </c>
      <c r="L65" t="s">
        <v>131</v>
      </c>
    </row>
    <row r="66" spans="1:12" x14ac:dyDescent="0.25">
      <c r="A66" s="6" t="s">
        <v>224</v>
      </c>
      <c r="B66" s="6" t="s">
        <v>42</v>
      </c>
      <c r="C66" s="6" t="s">
        <v>225</v>
      </c>
      <c r="D66" s="6" t="s">
        <v>108</v>
      </c>
      <c r="E66" s="6" t="s">
        <v>49</v>
      </c>
      <c r="F66" s="6" t="s">
        <v>50</v>
      </c>
      <c r="G66" s="7">
        <v>15325</v>
      </c>
      <c r="H66" s="8">
        <v>46117.972141203703</v>
      </c>
      <c r="I66" s="6" t="s">
        <v>109</v>
      </c>
      <c r="J66" s="6" t="s">
        <v>9</v>
      </c>
      <c r="K66" s="6"/>
      <c r="L66" s="6" t="s">
        <v>131</v>
      </c>
    </row>
    <row r="67" spans="1:12" x14ac:dyDescent="0.25">
      <c r="A67" t="s">
        <v>226</v>
      </c>
      <c r="B67" t="s">
        <v>227</v>
      </c>
      <c r="C67" t="s">
        <v>228</v>
      </c>
      <c r="D67" t="s">
        <v>229</v>
      </c>
      <c r="E67" t="s">
        <v>27</v>
      </c>
      <c r="F67" t="s">
        <v>28</v>
      </c>
      <c r="G67" s="2">
        <v>15285</v>
      </c>
      <c r="H67" s="5">
        <v>46118.083657407406</v>
      </c>
      <c r="I67" t="s">
        <v>148</v>
      </c>
      <c r="J67" t="s">
        <v>9</v>
      </c>
      <c r="L67" t="s">
        <v>131</v>
      </c>
    </row>
    <row r="68" spans="1:12" x14ac:dyDescent="0.25">
      <c r="A68" s="6" t="s">
        <v>230</v>
      </c>
      <c r="B68" s="6" t="s">
        <v>121</v>
      </c>
      <c r="C68" s="6" t="s">
        <v>231</v>
      </c>
      <c r="D68" s="6" t="s">
        <v>108</v>
      </c>
      <c r="E68" s="6" t="s">
        <v>27</v>
      </c>
      <c r="F68" s="6" t="s">
        <v>28</v>
      </c>
      <c r="G68" s="7">
        <v>14501</v>
      </c>
      <c r="H68" s="8">
        <v>46118.078958333332</v>
      </c>
      <c r="I68" s="6" t="s">
        <v>102</v>
      </c>
      <c r="J68" s="6" t="s">
        <v>9</v>
      </c>
      <c r="K68" s="6"/>
      <c r="L68" s="6" t="s">
        <v>131</v>
      </c>
    </row>
    <row r="69" spans="1:12" x14ac:dyDescent="0.25">
      <c r="A69" t="s">
        <v>232</v>
      </c>
      <c r="B69" t="s">
        <v>233</v>
      </c>
      <c r="C69" t="s">
        <v>234</v>
      </c>
      <c r="D69" t="s">
        <v>214</v>
      </c>
      <c r="E69" t="s">
        <v>27</v>
      </c>
      <c r="F69" t="s">
        <v>28</v>
      </c>
      <c r="G69" s="2">
        <v>14112</v>
      </c>
      <c r="H69" s="5">
        <v>46117.815868055557</v>
      </c>
      <c r="I69" t="s">
        <v>148</v>
      </c>
      <c r="J69" t="s">
        <v>9</v>
      </c>
      <c r="L69" t="s">
        <v>131</v>
      </c>
    </row>
    <row r="70" spans="1:12" x14ac:dyDescent="0.25">
      <c r="A70" s="6" t="s">
        <v>235</v>
      </c>
      <c r="B70" s="6" t="s">
        <v>236</v>
      </c>
      <c r="C70" s="6" t="s">
        <v>237</v>
      </c>
      <c r="D70" s="6" t="s">
        <v>209</v>
      </c>
      <c r="E70" s="6" t="s">
        <v>33</v>
      </c>
      <c r="F70" s="6"/>
      <c r="G70" s="7">
        <v>13017</v>
      </c>
      <c r="H70" s="8">
        <v>46118.067314814813</v>
      </c>
      <c r="I70" s="6" t="s">
        <v>2</v>
      </c>
      <c r="J70" s="6" t="s">
        <v>9</v>
      </c>
      <c r="K70" s="6"/>
      <c r="L70" s="6" t="s">
        <v>131</v>
      </c>
    </row>
    <row r="71" spans="1:12" x14ac:dyDescent="0.25">
      <c r="A71" t="s">
        <v>238</v>
      </c>
      <c r="B71" t="s">
        <v>3</v>
      </c>
      <c r="C71" t="s">
        <v>239</v>
      </c>
      <c r="D71" t="s">
        <v>71</v>
      </c>
      <c r="E71" t="s">
        <v>33</v>
      </c>
      <c r="G71" s="2">
        <v>12558</v>
      </c>
      <c r="H71" s="5">
        <v>46116.889675925922</v>
      </c>
      <c r="I71" t="s">
        <v>80</v>
      </c>
      <c r="J71" t="s">
        <v>40</v>
      </c>
      <c r="L71" t="s">
        <v>131</v>
      </c>
    </row>
    <row r="72" spans="1:12" x14ac:dyDescent="0.25">
      <c r="A72" s="6" t="s">
        <v>240</v>
      </c>
      <c r="B72" s="6" t="s">
        <v>179</v>
      </c>
      <c r="C72" s="6" t="s">
        <v>241</v>
      </c>
      <c r="D72" s="6" t="s">
        <v>108</v>
      </c>
      <c r="E72" s="6" t="s">
        <v>33</v>
      </c>
      <c r="F72" s="6"/>
      <c r="G72" s="7">
        <v>10725</v>
      </c>
      <c r="H72" s="8">
        <v>46113.683009259257</v>
      </c>
      <c r="I72" s="6" t="s">
        <v>45</v>
      </c>
      <c r="J72" s="6" t="s">
        <v>40</v>
      </c>
      <c r="K72" s="6"/>
      <c r="L72" s="6" t="s">
        <v>131</v>
      </c>
    </row>
    <row r="73" spans="1:12" x14ac:dyDescent="0.25">
      <c r="A73" t="s">
        <v>242</v>
      </c>
      <c r="B73" t="s">
        <v>42</v>
      </c>
      <c r="C73" t="s">
        <v>243</v>
      </c>
      <c r="D73" t="s">
        <v>214</v>
      </c>
      <c r="E73" t="s">
        <v>27</v>
      </c>
      <c r="F73" t="s">
        <v>28</v>
      </c>
      <c r="G73" s="2">
        <v>10688</v>
      </c>
      <c r="H73" s="5">
        <v>46118.076655092591</v>
      </c>
      <c r="I73" t="s">
        <v>109</v>
      </c>
      <c r="J73" t="s">
        <v>9</v>
      </c>
      <c r="L73" t="s">
        <v>131</v>
      </c>
    </row>
    <row r="74" spans="1:12" x14ac:dyDescent="0.25">
      <c r="A74" s="6" t="s">
        <v>244</v>
      </c>
      <c r="B74" s="6" t="s">
        <v>245</v>
      </c>
      <c r="C74" s="6" t="s">
        <v>246</v>
      </c>
      <c r="D74" s="6" t="s">
        <v>108</v>
      </c>
      <c r="E74" s="6" t="s">
        <v>27</v>
      </c>
      <c r="F74" s="6" t="s">
        <v>28</v>
      </c>
      <c r="G74" s="7">
        <v>10506</v>
      </c>
      <c r="H74" s="8">
        <v>46118.080300925925</v>
      </c>
      <c r="I74" s="6" t="s">
        <v>91</v>
      </c>
      <c r="J74" s="6" t="s">
        <v>9</v>
      </c>
      <c r="K74" s="6"/>
      <c r="L74" s="6" t="s">
        <v>131</v>
      </c>
    </row>
    <row r="75" spans="1:12" x14ac:dyDescent="0.25">
      <c r="A75" t="s">
        <v>247</v>
      </c>
      <c r="B75" t="s">
        <v>168</v>
      </c>
      <c r="C75" t="s">
        <v>248</v>
      </c>
      <c r="D75" t="s">
        <v>214</v>
      </c>
      <c r="E75" t="s">
        <v>27</v>
      </c>
      <c r="F75" t="s">
        <v>28</v>
      </c>
      <c r="G75" s="2">
        <v>9746</v>
      </c>
      <c r="H75" s="5">
        <v>46118.076643518521</v>
      </c>
      <c r="I75" t="s">
        <v>148</v>
      </c>
      <c r="J75" t="s">
        <v>9</v>
      </c>
      <c r="L75" t="s">
        <v>249</v>
      </c>
    </row>
    <row r="76" spans="1:12" x14ac:dyDescent="0.25">
      <c r="A76" s="6" t="s">
        <v>250</v>
      </c>
      <c r="B76" s="6" t="s">
        <v>42</v>
      </c>
      <c r="C76" s="6" t="s">
        <v>251</v>
      </c>
      <c r="D76" s="6" t="s">
        <v>44</v>
      </c>
      <c r="E76" s="6" t="s">
        <v>49</v>
      </c>
      <c r="F76" s="6" t="s">
        <v>50</v>
      </c>
      <c r="G76" s="7">
        <v>9190</v>
      </c>
      <c r="H76" s="8">
        <v>46117.018148148149</v>
      </c>
      <c r="I76" s="6" t="s">
        <v>45</v>
      </c>
      <c r="J76" s="6" t="s">
        <v>40</v>
      </c>
      <c r="K76" s="6"/>
      <c r="L76" s="6" t="s">
        <v>249</v>
      </c>
    </row>
    <row r="77" spans="1:12" x14ac:dyDescent="0.25">
      <c r="A77" t="s">
        <v>252</v>
      </c>
      <c r="B77" t="s">
        <v>121</v>
      </c>
      <c r="C77" t="s">
        <v>253</v>
      </c>
      <c r="D77" t="s">
        <v>108</v>
      </c>
      <c r="E77" t="s">
        <v>27</v>
      </c>
      <c r="F77" t="s">
        <v>28</v>
      </c>
      <c r="G77" s="2">
        <v>8017</v>
      </c>
      <c r="H77" s="5">
        <v>46118.078680555554</v>
      </c>
      <c r="I77" t="s">
        <v>102</v>
      </c>
      <c r="J77" t="s">
        <v>9</v>
      </c>
      <c r="L77" t="s">
        <v>249</v>
      </c>
    </row>
    <row r="78" spans="1:12" x14ac:dyDescent="0.25">
      <c r="A78" s="6" t="s">
        <v>254</v>
      </c>
      <c r="B78" s="6" t="s">
        <v>179</v>
      </c>
      <c r="C78" s="6" t="s">
        <v>255</v>
      </c>
      <c r="D78" s="6" t="s">
        <v>44</v>
      </c>
      <c r="E78" s="6" t="s">
        <v>27</v>
      </c>
      <c r="F78" s="6" t="s">
        <v>28</v>
      </c>
      <c r="G78" s="7">
        <v>7499</v>
      </c>
      <c r="H78" s="8">
        <v>46116.889687499999</v>
      </c>
      <c r="I78" s="6" t="s">
        <v>45</v>
      </c>
      <c r="J78" s="6" t="s">
        <v>40</v>
      </c>
      <c r="K78" s="6"/>
      <c r="L78" s="6" t="s">
        <v>249</v>
      </c>
    </row>
    <row r="79" spans="1:12" x14ac:dyDescent="0.25">
      <c r="A79" t="s">
        <v>256</v>
      </c>
      <c r="B79" t="s">
        <v>62</v>
      </c>
      <c r="C79" t="s">
        <v>257</v>
      </c>
      <c r="D79" t="s">
        <v>44</v>
      </c>
      <c r="E79" t="s">
        <v>27</v>
      </c>
      <c r="F79" t="s">
        <v>28</v>
      </c>
      <c r="G79" s="2">
        <v>7069</v>
      </c>
      <c r="H79" s="5">
        <v>46116.889710648145</v>
      </c>
      <c r="I79" t="s">
        <v>45</v>
      </c>
      <c r="J79" t="s">
        <v>40</v>
      </c>
      <c r="L79" t="s">
        <v>249</v>
      </c>
    </row>
    <row r="80" spans="1:12" x14ac:dyDescent="0.25">
      <c r="A80" s="6" t="s">
        <v>258</v>
      </c>
      <c r="B80" s="6" t="s">
        <v>42</v>
      </c>
      <c r="C80" s="6" t="s">
        <v>259</v>
      </c>
      <c r="D80" s="6" t="s">
        <v>209</v>
      </c>
      <c r="E80" s="6" t="s">
        <v>33</v>
      </c>
      <c r="F80" s="6"/>
      <c r="G80" s="7">
        <v>6766</v>
      </c>
      <c r="H80" s="8">
        <v>46118.067129629628</v>
      </c>
      <c r="I80" s="6" t="s">
        <v>109</v>
      </c>
      <c r="J80" s="6" t="s">
        <v>9</v>
      </c>
      <c r="K80" s="6"/>
      <c r="L80" s="6" t="s">
        <v>249</v>
      </c>
    </row>
    <row r="81" spans="1:12" x14ac:dyDescent="0.25">
      <c r="A81" t="s">
        <v>260</v>
      </c>
      <c r="B81" t="s">
        <v>179</v>
      </c>
      <c r="C81" t="s">
        <v>261</v>
      </c>
      <c r="D81" t="s">
        <v>108</v>
      </c>
      <c r="E81" t="s">
        <v>262</v>
      </c>
      <c r="F81" t="s">
        <v>28</v>
      </c>
      <c r="G81" s="2">
        <v>6501</v>
      </c>
      <c r="H81" s="5">
        <v>46118.061296296299</v>
      </c>
      <c r="I81" t="s">
        <v>45</v>
      </c>
      <c r="J81" t="s">
        <v>9</v>
      </c>
      <c r="L81" t="s">
        <v>249</v>
      </c>
    </row>
    <row r="82" spans="1:12" x14ac:dyDescent="0.25">
      <c r="A82" s="6" t="s">
        <v>263</v>
      </c>
      <c r="B82" s="6" t="s">
        <v>3</v>
      </c>
      <c r="C82" s="6" t="s">
        <v>264</v>
      </c>
      <c r="D82" s="6" t="s">
        <v>229</v>
      </c>
      <c r="E82" s="6" t="s">
        <v>33</v>
      </c>
      <c r="F82" s="6"/>
      <c r="G82" s="7">
        <v>6311</v>
      </c>
      <c r="H82" s="8">
        <v>46092.955717592595</v>
      </c>
      <c r="I82" s="6" t="s">
        <v>2</v>
      </c>
      <c r="J82" s="6" t="s">
        <v>34</v>
      </c>
      <c r="K82" s="6"/>
      <c r="L82" s="6" t="s">
        <v>249</v>
      </c>
    </row>
    <row r="83" spans="1:12" x14ac:dyDescent="0.25">
      <c r="A83" t="s">
        <v>265</v>
      </c>
      <c r="B83" t="s">
        <v>121</v>
      </c>
      <c r="C83" t="s">
        <v>266</v>
      </c>
      <c r="D83" t="s">
        <v>267</v>
      </c>
      <c r="E83" t="s">
        <v>33</v>
      </c>
      <c r="G83" s="2">
        <v>6236</v>
      </c>
      <c r="H83" s="5">
        <v>46117.814039351855</v>
      </c>
      <c r="I83" t="s">
        <v>102</v>
      </c>
      <c r="J83" t="s">
        <v>9</v>
      </c>
      <c r="L83" t="s">
        <v>249</v>
      </c>
    </row>
    <row r="84" spans="1:12" x14ac:dyDescent="0.25">
      <c r="A84" s="6" t="s">
        <v>268</v>
      </c>
      <c r="B84" s="6" t="s">
        <v>269</v>
      </c>
      <c r="C84" s="6" t="s">
        <v>270</v>
      </c>
      <c r="D84" s="6" t="s">
        <v>229</v>
      </c>
      <c r="E84" s="6" t="s">
        <v>27</v>
      </c>
      <c r="F84" s="6" t="s">
        <v>28</v>
      </c>
      <c r="G84" s="7">
        <v>6196</v>
      </c>
      <c r="H84" s="8">
        <v>46115.754027777781</v>
      </c>
      <c r="I84" s="6" t="s">
        <v>148</v>
      </c>
      <c r="J84" s="6" t="s">
        <v>40</v>
      </c>
      <c r="K84" s="6"/>
      <c r="L84" s="6" t="s">
        <v>249</v>
      </c>
    </row>
    <row r="85" spans="1:12" x14ac:dyDescent="0.25">
      <c r="A85" t="s">
        <v>271</v>
      </c>
      <c r="B85" t="s">
        <v>272</v>
      </c>
      <c r="C85" t="s">
        <v>273</v>
      </c>
      <c r="D85" t="s">
        <v>108</v>
      </c>
      <c r="E85" t="s">
        <v>27</v>
      </c>
      <c r="F85" t="s">
        <v>28</v>
      </c>
      <c r="G85" s="2">
        <v>5921</v>
      </c>
      <c r="H85" s="5">
        <v>46117.887280092589</v>
      </c>
      <c r="I85" t="s">
        <v>155</v>
      </c>
      <c r="J85" t="s">
        <v>9</v>
      </c>
      <c r="L85" t="s">
        <v>249</v>
      </c>
    </row>
    <row r="86" spans="1:12" x14ac:dyDescent="0.25">
      <c r="A86" s="6" t="s">
        <v>274</v>
      </c>
      <c r="B86" s="6" t="s">
        <v>97</v>
      </c>
      <c r="C86" s="6" t="s">
        <v>275</v>
      </c>
      <c r="D86" s="6" t="s">
        <v>44</v>
      </c>
      <c r="E86" s="6" t="s">
        <v>27</v>
      </c>
      <c r="F86" s="6" t="s">
        <v>28</v>
      </c>
      <c r="G86" s="7">
        <v>5566</v>
      </c>
      <c r="H86" s="8">
        <v>46116.889930555553</v>
      </c>
      <c r="I86" s="6" t="s">
        <v>45</v>
      </c>
      <c r="J86" s="6" t="s">
        <v>40</v>
      </c>
      <c r="K86" s="6"/>
      <c r="L86" s="6" t="s">
        <v>249</v>
      </c>
    </row>
    <row r="87" spans="1:12" x14ac:dyDescent="0.25">
      <c r="A87" t="s">
        <v>276</v>
      </c>
      <c r="B87" t="s">
        <v>277</v>
      </c>
      <c r="C87" t="s">
        <v>278</v>
      </c>
      <c r="D87" t="s">
        <v>44</v>
      </c>
      <c r="E87" t="s">
        <v>27</v>
      </c>
      <c r="F87" t="s">
        <v>28</v>
      </c>
      <c r="G87" s="2">
        <v>5370</v>
      </c>
      <c r="H87" s="5">
        <v>46117.810995370368</v>
      </c>
      <c r="I87" t="s">
        <v>45</v>
      </c>
      <c r="J87" t="s">
        <v>9</v>
      </c>
      <c r="L87" t="s">
        <v>249</v>
      </c>
    </row>
    <row r="88" spans="1:12" x14ac:dyDescent="0.25">
      <c r="A88" s="6" t="s">
        <v>279</v>
      </c>
      <c r="B88" s="6" t="s">
        <v>121</v>
      </c>
      <c r="C88" s="6" t="s">
        <v>280</v>
      </c>
      <c r="D88" s="6" t="s">
        <v>281</v>
      </c>
      <c r="E88" s="6" t="s">
        <v>49</v>
      </c>
      <c r="F88" s="6" t="s">
        <v>50</v>
      </c>
      <c r="G88" s="7">
        <v>5249</v>
      </c>
      <c r="H88" s="8">
        <v>46117.015115740738</v>
      </c>
      <c r="I88" s="6" t="s">
        <v>102</v>
      </c>
      <c r="J88" s="6" t="s">
        <v>40</v>
      </c>
      <c r="K88" s="6"/>
      <c r="L88" s="6" t="s">
        <v>249</v>
      </c>
    </row>
    <row r="89" spans="1:12" x14ac:dyDescent="0.25">
      <c r="A89" t="s">
        <v>282</v>
      </c>
      <c r="B89" t="s">
        <v>283</v>
      </c>
      <c r="C89" t="s">
        <v>284</v>
      </c>
      <c r="D89" t="s">
        <v>108</v>
      </c>
      <c r="E89" t="s">
        <v>49</v>
      </c>
      <c r="F89" t="s">
        <v>50</v>
      </c>
      <c r="G89" s="2">
        <v>5185</v>
      </c>
      <c r="H89" s="5">
        <v>46117.886666666665</v>
      </c>
      <c r="I89" t="s">
        <v>155</v>
      </c>
      <c r="J89" t="s">
        <v>9</v>
      </c>
      <c r="L89" t="s">
        <v>249</v>
      </c>
    </row>
    <row r="90" spans="1:12" x14ac:dyDescent="0.25">
      <c r="A90" s="6" t="s">
        <v>285</v>
      </c>
      <c r="B90" s="6" t="s">
        <v>3</v>
      </c>
      <c r="C90" s="6" t="s">
        <v>286</v>
      </c>
      <c r="D90" s="6" t="s">
        <v>229</v>
      </c>
      <c r="E90" s="6" t="s">
        <v>33</v>
      </c>
      <c r="F90" s="6"/>
      <c r="G90" s="7">
        <v>4959</v>
      </c>
      <c r="H90" s="8">
        <v>46086.998738425929</v>
      </c>
      <c r="I90" s="6" t="s">
        <v>2</v>
      </c>
      <c r="J90" s="6" t="s">
        <v>34</v>
      </c>
      <c r="K90" s="6"/>
      <c r="L90" s="6" t="s">
        <v>249</v>
      </c>
    </row>
    <row r="91" spans="1:12" x14ac:dyDescent="0.25">
      <c r="A91" t="s">
        <v>287</v>
      </c>
      <c r="B91" t="s">
        <v>288</v>
      </c>
      <c r="C91" t="s">
        <v>289</v>
      </c>
      <c r="D91" t="s">
        <v>267</v>
      </c>
      <c r="E91" t="s">
        <v>33</v>
      </c>
      <c r="G91" s="2">
        <v>4820</v>
      </c>
      <c r="H91" s="5">
        <v>46116.889745370368</v>
      </c>
      <c r="I91" t="s">
        <v>2</v>
      </c>
      <c r="J91" t="s">
        <v>40</v>
      </c>
      <c r="L91" t="s">
        <v>249</v>
      </c>
    </row>
    <row r="92" spans="1:12" x14ac:dyDescent="0.25">
      <c r="A92" s="6" t="s">
        <v>290</v>
      </c>
      <c r="B92" s="6" t="s">
        <v>291</v>
      </c>
      <c r="C92" s="6" t="s">
        <v>292</v>
      </c>
      <c r="D92" s="6" t="s">
        <v>108</v>
      </c>
      <c r="E92" s="6" t="s">
        <v>27</v>
      </c>
      <c r="F92" s="6" t="s">
        <v>28</v>
      </c>
      <c r="G92" s="7">
        <v>4725</v>
      </c>
      <c r="H92" s="8">
        <v>46117.886724537035</v>
      </c>
      <c r="I92" s="6" t="s">
        <v>155</v>
      </c>
      <c r="J92" s="6" t="s">
        <v>9</v>
      </c>
      <c r="K92" s="6"/>
      <c r="L92" s="6" t="s">
        <v>249</v>
      </c>
    </row>
    <row r="93" spans="1:12" x14ac:dyDescent="0.25">
      <c r="A93" t="s">
        <v>293</v>
      </c>
      <c r="B93" t="s">
        <v>227</v>
      </c>
      <c r="C93" t="s">
        <v>294</v>
      </c>
      <c r="D93" t="s">
        <v>229</v>
      </c>
      <c r="E93" t="s">
        <v>27</v>
      </c>
      <c r="F93" t="s">
        <v>28</v>
      </c>
      <c r="G93" s="2">
        <v>4724</v>
      </c>
      <c r="H93" s="5">
        <v>46108.444861111115</v>
      </c>
      <c r="I93" t="s">
        <v>148</v>
      </c>
      <c r="J93" t="s">
        <v>34</v>
      </c>
      <c r="L93" t="s">
        <v>249</v>
      </c>
    </row>
    <row r="94" spans="1:12" x14ac:dyDescent="0.25">
      <c r="A94" s="6" t="s">
        <v>295</v>
      </c>
      <c r="B94" s="6" t="s">
        <v>121</v>
      </c>
      <c r="C94" s="6" t="s">
        <v>296</v>
      </c>
      <c r="D94" s="6" t="s">
        <v>297</v>
      </c>
      <c r="E94" s="6" t="s">
        <v>49</v>
      </c>
      <c r="F94" s="6" t="s">
        <v>50</v>
      </c>
      <c r="G94" s="7">
        <v>4576</v>
      </c>
      <c r="H94" s="8">
        <v>46118.046898148146</v>
      </c>
      <c r="I94" s="6" t="s">
        <v>102</v>
      </c>
      <c r="J94" s="6" t="s">
        <v>9</v>
      </c>
      <c r="K94" s="6"/>
      <c r="L94" s="6" t="s">
        <v>249</v>
      </c>
    </row>
    <row r="95" spans="1:12" x14ac:dyDescent="0.25">
      <c r="A95" t="s">
        <v>298</v>
      </c>
      <c r="B95" t="s">
        <v>245</v>
      </c>
      <c r="C95" t="s">
        <v>299</v>
      </c>
      <c r="D95" t="s">
        <v>108</v>
      </c>
      <c r="E95" t="s">
        <v>27</v>
      </c>
      <c r="F95" t="s">
        <v>28</v>
      </c>
      <c r="G95" s="2">
        <v>4395</v>
      </c>
      <c r="H95" s="5">
        <v>46118.063101851854</v>
      </c>
      <c r="I95" t="s">
        <v>91</v>
      </c>
      <c r="J95" t="s">
        <v>9</v>
      </c>
      <c r="L95" t="s">
        <v>249</v>
      </c>
    </row>
    <row r="96" spans="1:12" x14ac:dyDescent="0.25">
      <c r="A96" s="6" t="s">
        <v>300</v>
      </c>
      <c r="B96" s="6" t="s">
        <v>277</v>
      </c>
      <c r="C96" s="6" t="s">
        <v>301</v>
      </c>
      <c r="D96" s="6" t="s">
        <v>138</v>
      </c>
      <c r="E96" s="6" t="s">
        <v>33</v>
      </c>
      <c r="F96" s="6"/>
      <c r="G96" s="7">
        <v>4217</v>
      </c>
      <c r="H96" s="8">
        <v>46117.363020833334</v>
      </c>
      <c r="I96" s="6" t="s">
        <v>148</v>
      </c>
      <c r="J96" s="6" t="s">
        <v>9</v>
      </c>
      <c r="K96" s="6"/>
      <c r="L96" s="6" t="s">
        <v>249</v>
      </c>
    </row>
    <row r="97" spans="1:12" x14ac:dyDescent="0.25">
      <c r="A97" t="s">
        <v>302</v>
      </c>
      <c r="B97" t="s">
        <v>218</v>
      </c>
      <c r="C97" t="s">
        <v>303</v>
      </c>
      <c r="D97" t="s">
        <v>108</v>
      </c>
      <c r="E97" t="s">
        <v>27</v>
      </c>
      <c r="F97" t="s">
        <v>28</v>
      </c>
      <c r="G97" s="2">
        <v>4216</v>
      </c>
      <c r="H97" s="5">
        <v>46117.886388888888</v>
      </c>
      <c r="I97" t="s">
        <v>155</v>
      </c>
      <c r="J97" t="s">
        <v>9</v>
      </c>
      <c r="L97" t="s">
        <v>249</v>
      </c>
    </row>
    <row r="98" spans="1:12" x14ac:dyDescent="0.25">
      <c r="A98" s="6" t="s">
        <v>304</v>
      </c>
      <c r="B98" s="6" t="s">
        <v>277</v>
      </c>
      <c r="C98" s="6" t="s">
        <v>305</v>
      </c>
      <c r="D98" s="6" t="s">
        <v>306</v>
      </c>
      <c r="E98" s="6" t="s">
        <v>49</v>
      </c>
      <c r="F98" s="6" t="s">
        <v>50</v>
      </c>
      <c r="G98" s="7">
        <v>4122</v>
      </c>
      <c r="H98" s="8">
        <v>46117.475821759261</v>
      </c>
      <c r="I98" s="6" t="s">
        <v>148</v>
      </c>
      <c r="J98" s="6" t="s">
        <v>9</v>
      </c>
      <c r="K98" s="6"/>
      <c r="L98" s="6" t="s">
        <v>249</v>
      </c>
    </row>
    <row r="99" spans="1:12" x14ac:dyDescent="0.25">
      <c r="A99" t="s">
        <v>307</v>
      </c>
      <c r="B99" t="s">
        <v>205</v>
      </c>
      <c r="C99" t="s">
        <v>308</v>
      </c>
      <c r="D99" t="s">
        <v>229</v>
      </c>
      <c r="E99" t="s">
        <v>27</v>
      </c>
      <c r="F99" t="s">
        <v>28</v>
      </c>
      <c r="G99" s="2">
        <v>3950</v>
      </c>
      <c r="H99" s="5">
        <v>46109.246076388888</v>
      </c>
      <c r="I99" t="s">
        <v>148</v>
      </c>
      <c r="J99" t="s">
        <v>34</v>
      </c>
      <c r="L99" t="s">
        <v>249</v>
      </c>
    </row>
    <row r="100" spans="1:12" x14ac:dyDescent="0.25">
      <c r="A100" s="6" t="s">
        <v>309</v>
      </c>
      <c r="B100" s="6" t="s">
        <v>310</v>
      </c>
      <c r="C100" s="6" t="s">
        <v>311</v>
      </c>
      <c r="D100" s="6" t="s">
        <v>108</v>
      </c>
      <c r="E100" s="6" t="s">
        <v>27</v>
      </c>
      <c r="F100" s="6" t="s">
        <v>28</v>
      </c>
      <c r="G100" s="7">
        <v>3787</v>
      </c>
      <c r="H100" s="8">
        <v>46118.0628125</v>
      </c>
      <c r="I100" s="6" t="s">
        <v>155</v>
      </c>
      <c r="J100" s="6" t="s">
        <v>9</v>
      </c>
      <c r="K100" s="6"/>
      <c r="L100" s="6" t="s">
        <v>249</v>
      </c>
    </row>
    <row r="101" spans="1:12" x14ac:dyDescent="0.25">
      <c r="A101" t="s">
        <v>312</v>
      </c>
      <c r="B101" t="s">
        <v>190</v>
      </c>
      <c r="C101" t="s">
        <v>313</v>
      </c>
      <c r="D101" t="s">
        <v>214</v>
      </c>
      <c r="E101" t="s">
        <v>27</v>
      </c>
      <c r="F101" t="s">
        <v>28</v>
      </c>
      <c r="G101" s="2">
        <v>3751</v>
      </c>
      <c r="H101" s="5">
        <v>46117.654826388891</v>
      </c>
      <c r="I101" t="s">
        <v>148</v>
      </c>
      <c r="J101" t="s">
        <v>9</v>
      </c>
      <c r="L101" t="s">
        <v>249</v>
      </c>
    </row>
    <row r="102" spans="1:12" x14ac:dyDescent="0.25">
      <c r="A102" s="6" t="s">
        <v>314</v>
      </c>
      <c r="B102" s="6" t="s">
        <v>74</v>
      </c>
      <c r="C102" s="6" t="s">
        <v>315</v>
      </c>
      <c r="D102" s="6" t="s">
        <v>108</v>
      </c>
      <c r="E102" s="6" t="s">
        <v>27</v>
      </c>
      <c r="F102" s="6" t="s">
        <v>28</v>
      </c>
      <c r="G102" s="7">
        <v>3415</v>
      </c>
      <c r="H102" s="8">
        <v>46118.063136574077</v>
      </c>
      <c r="I102" s="6" t="s">
        <v>39</v>
      </c>
      <c r="J102" s="6" t="s">
        <v>9</v>
      </c>
      <c r="K102" s="6"/>
      <c r="L102" s="6" t="s">
        <v>249</v>
      </c>
    </row>
    <row r="103" spans="1:12" x14ac:dyDescent="0.25">
      <c r="A103" t="s">
        <v>316</v>
      </c>
      <c r="B103" t="s">
        <v>317</v>
      </c>
      <c r="C103" t="s">
        <v>318</v>
      </c>
      <c r="D103" t="s">
        <v>229</v>
      </c>
      <c r="E103" t="s">
        <v>27</v>
      </c>
      <c r="F103" t="s">
        <v>28</v>
      </c>
      <c r="G103" s="2">
        <v>3331</v>
      </c>
      <c r="H103" s="5">
        <v>46116.132986111108</v>
      </c>
      <c r="I103" t="s">
        <v>148</v>
      </c>
      <c r="J103" t="s">
        <v>40</v>
      </c>
      <c r="L103" t="s">
        <v>249</v>
      </c>
    </row>
    <row r="104" spans="1:12" x14ac:dyDescent="0.25">
      <c r="A104" s="6" t="s">
        <v>319</v>
      </c>
      <c r="B104" s="6" t="s">
        <v>121</v>
      </c>
      <c r="C104" s="6" t="s">
        <v>320</v>
      </c>
      <c r="D104" s="6" t="s">
        <v>229</v>
      </c>
      <c r="E104" s="6" t="s">
        <v>27</v>
      </c>
      <c r="F104" s="6" t="s">
        <v>28</v>
      </c>
      <c r="G104" s="7">
        <v>2861</v>
      </c>
      <c r="H104" s="8">
        <v>46117.809201388889</v>
      </c>
      <c r="I104" s="6" t="s">
        <v>102</v>
      </c>
      <c r="J104" s="6" t="s">
        <v>9</v>
      </c>
      <c r="K104" s="6"/>
      <c r="L104" s="6" t="s">
        <v>249</v>
      </c>
    </row>
    <row r="105" spans="1:12" x14ac:dyDescent="0.25">
      <c r="A105" t="s">
        <v>321</v>
      </c>
      <c r="B105" t="s">
        <v>104</v>
      </c>
      <c r="C105" t="s">
        <v>322</v>
      </c>
      <c r="D105" t="s">
        <v>108</v>
      </c>
      <c r="E105" t="s">
        <v>27</v>
      </c>
      <c r="F105" t="s">
        <v>28</v>
      </c>
      <c r="G105" s="2">
        <v>2679</v>
      </c>
      <c r="H105" s="5">
        <v>46117.88689814815</v>
      </c>
      <c r="I105" t="s">
        <v>155</v>
      </c>
      <c r="J105" t="s">
        <v>9</v>
      </c>
      <c r="L105" t="s">
        <v>249</v>
      </c>
    </row>
    <row r="106" spans="1:12" x14ac:dyDescent="0.25">
      <c r="A106" s="6" t="s">
        <v>323</v>
      </c>
      <c r="B106" s="6" t="s">
        <v>190</v>
      </c>
      <c r="C106" s="6" t="s">
        <v>324</v>
      </c>
      <c r="D106" s="6" t="s">
        <v>229</v>
      </c>
      <c r="E106" s="6" t="s">
        <v>27</v>
      </c>
      <c r="F106" s="6" t="s">
        <v>28</v>
      </c>
      <c r="G106" s="7">
        <v>2627</v>
      </c>
      <c r="H106" s="8">
        <v>46117.818865740737</v>
      </c>
      <c r="I106" s="6" t="s">
        <v>325</v>
      </c>
      <c r="J106" s="6" t="s">
        <v>9</v>
      </c>
      <c r="K106" s="6"/>
      <c r="L106" s="6" t="s">
        <v>249</v>
      </c>
    </row>
    <row r="107" spans="1:12" x14ac:dyDescent="0.25">
      <c r="A107" t="s">
        <v>326</v>
      </c>
      <c r="B107" t="s">
        <v>121</v>
      </c>
      <c r="C107" t="s">
        <v>327</v>
      </c>
      <c r="D107" t="s">
        <v>229</v>
      </c>
      <c r="E107" t="s">
        <v>27</v>
      </c>
      <c r="F107" t="s">
        <v>28</v>
      </c>
      <c r="G107" s="2">
        <v>2302</v>
      </c>
      <c r="H107" s="5">
        <v>46116.889675925922</v>
      </c>
      <c r="I107" t="s">
        <v>102</v>
      </c>
      <c r="J107" t="s">
        <v>40</v>
      </c>
      <c r="L107" t="s">
        <v>249</v>
      </c>
    </row>
    <row r="108" spans="1:12" x14ac:dyDescent="0.25">
      <c r="A108" s="6" t="s">
        <v>328</v>
      </c>
      <c r="B108" s="6" t="s">
        <v>218</v>
      </c>
      <c r="C108" s="6" t="s">
        <v>329</v>
      </c>
      <c r="D108" s="6" t="s">
        <v>214</v>
      </c>
      <c r="E108" s="6" t="s">
        <v>27</v>
      </c>
      <c r="F108" s="6" t="s">
        <v>28</v>
      </c>
      <c r="G108" s="7">
        <v>1821</v>
      </c>
      <c r="H108" s="8">
        <v>46118.084143518521</v>
      </c>
      <c r="I108" s="6" t="s">
        <v>148</v>
      </c>
      <c r="J108" s="6" t="s">
        <v>9</v>
      </c>
      <c r="K108" s="6"/>
      <c r="L108" s="6" t="s">
        <v>249</v>
      </c>
    </row>
    <row r="109" spans="1:12" x14ac:dyDescent="0.25">
      <c r="A109" t="s">
        <v>330</v>
      </c>
      <c r="B109" t="s">
        <v>331</v>
      </c>
      <c r="C109" t="s">
        <v>332</v>
      </c>
      <c r="D109" t="s">
        <v>333</v>
      </c>
      <c r="E109" t="s">
        <v>334</v>
      </c>
      <c r="F109" t="s">
        <v>50</v>
      </c>
      <c r="G109" s="2">
        <v>1794</v>
      </c>
      <c r="H109" s="5">
        <v>46117.710995370369</v>
      </c>
      <c r="I109" t="s">
        <v>102</v>
      </c>
      <c r="J109" t="s">
        <v>9</v>
      </c>
      <c r="L109" t="s">
        <v>249</v>
      </c>
    </row>
    <row r="110" spans="1:12" x14ac:dyDescent="0.25">
      <c r="A110" s="6" t="s">
        <v>335</v>
      </c>
      <c r="B110" s="6" t="s">
        <v>121</v>
      </c>
      <c r="C110" s="6" t="s">
        <v>336</v>
      </c>
      <c r="D110" s="6" t="s">
        <v>108</v>
      </c>
      <c r="E110" s="6" t="s">
        <v>33</v>
      </c>
      <c r="F110" s="6"/>
      <c r="G110" s="7">
        <v>1664</v>
      </c>
      <c r="H110" s="8">
        <v>46117.747754629629</v>
      </c>
      <c r="I110" s="6" t="s">
        <v>102</v>
      </c>
      <c r="J110" s="6" t="s">
        <v>9</v>
      </c>
      <c r="K110" s="6"/>
      <c r="L110" s="6" t="s">
        <v>249</v>
      </c>
    </row>
    <row r="111" spans="1:12" x14ac:dyDescent="0.25">
      <c r="A111" t="s">
        <v>337</v>
      </c>
      <c r="B111" t="s">
        <v>121</v>
      </c>
      <c r="C111" t="s">
        <v>338</v>
      </c>
      <c r="D111" t="s">
        <v>108</v>
      </c>
      <c r="E111" t="s">
        <v>33</v>
      </c>
      <c r="G111" s="2">
        <v>1590</v>
      </c>
      <c r="H111" s="5">
        <v>46117.747754629629</v>
      </c>
      <c r="I111" t="s">
        <v>102</v>
      </c>
      <c r="J111" t="s">
        <v>9</v>
      </c>
      <c r="L111" t="s">
        <v>249</v>
      </c>
    </row>
    <row r="112" spans="1:12" x14ac:dyDescent="0.25">
      <c r="A112" s="6" t="s">
        <v>339</v>
      </c>
      <c r="B112" s="6" t="s">
        <v>69</v>
      </c>
      <c r="C112" s="6" t="s">
        <v>340</v>
      </c>
      <c r="D112" s="6" t="s">
        <v>214</v>
      </c>
      <c r="E112" s="6" t="s">
        <v>27</v>
      </c>
      <c r="F112" s="6" t="s">
        <v>28</v>
      </c>
      <c r="G112" s="7">
        <v>1204</v>
      </c>
      <c r="H112" s="8">
        <v>46118.080648148149</v>
      </c>
      <c r="I112" s="6" t="s">
        <v>72</v>
      </c>
      <c r="J112" s="6" t="s">
        <v>9</v>
      </c>
      <c r="K112" s="6"/>
      <c r="L112" s="6" t="s">
        <v>249</v>
      </c>
    </row>
    <row r="113" spans="1:12" x14ac:dyDescent="0.25">
      <c r="A113" t="s">
        <v>341</v>
      </c>
      <c r="B113" t="s">
        <v>100</v>
      </c>
      <c r="C113" t="s">
        <v>342</v>
      </c>
      <c r="D113" t="s">
        <v>333</v>
      </c>
      <c r="E113" t="s">
        <v>49</v>
      </c>
      <c r="F113" t="s">
        <v>50</v>
      </c>
      <c r="G113" s="2">
        <v>1183</v>
      </c>
      <c r="H113" s="5">
        <v>46111.365370370368</v>
      </c>
      <c r="I113" t="s">
        <v>102</v>
      </c>
      <c r="J113" t="s">
        <v>40</v>
      </c>
      <c r="L113" t="s">
        <v>249</v>
      </c>
    </row>
    <row r="114" spans="1:12" x14ac:dyDescent="0.25">
      <c r="A114" s="6" t="s">
        <v>343</v>
      </c>
      <c r="B114" s="6" t="s">
        <v>74</v>
      </c>
      <c r="C114" s="6" t="s">
        <v>344</v>
      </c>
      <c r="D114" s="6" t="s">
        <v>333</v>
      </c>
      <c r="E114" s="6" t="s">
        <v>27</v>
      </c>
      <c r="F114" s="6" t="s">
        <v>28</v>
      </c>
      <c r="G114" s="7">
        <v>1174</v>
      </c>
      <c r="H114" s="8">
        <v>46117.804722222223</v>
      </c>
      <c r="I114" s="6" t="s">
        <v>39</v>
      </c>
      <c r="J114" s="6" t="s">
        <v>9</v>
      </c>
      <c r="K114" s="6"/>
      <c r="L114" s="6" t="s">
        <v>249</v>
      </c>
    </row>
    <row r="115" spans="1:12" x14ac:dyDescent="0.25">
      <c r="A115" t="s">
        <v>345</v>
      </c>
      <c r="B115" t="s">
        <v>310</v>
      </c>
      <c r="C115" t="s">
        <v>346</v>
      </c>
      <c r="D115" t="s">
        <v>214</v>
      </c>
      <c r="E115" t="s">
        <v>27</v>
      </c>
      <c r="F115" t="s">
        <v>28</v>
      </c>
      <c r="G115" s="2">
        <v>1088</v>
      </c>
      <c r="H115" s="5">
        <v>46116.89916666667</v>
      </c>
      <c r="I115" t="s">
        <v>148</v>
      </c>
      <c r="J115" t="s">
        <v>40</v>
      </c>
      <c r="L115" t="s">
        <v>249</v>
      </c>
    </row>
    <row r="116" spans="1:12" x14ac:dyDescent="0.25">
      <c r="A116" s="6" t="s">
        <v>347</v>
      </c>
      <c r="B116" s="6" t="s">
        <v>121</v>
      </c>
      <c r="C116" s="6" t="s">
        <v>348</v>
      </c>
      <c r="D116" s="6" t="s">
        <v>130</v>
      </c>
      <c r="E116" s="6" t="s">
        <v>27</v>
      </c>
      <c r="F116" s="6" t="s">
        <v>28</v>
      </c>
      <c r="G116" s="7">
        <v>1070</v>
      </c>
      <c r="H116" s="8">
        <v>46118.037951388891</v>
      </c>
      <c r="I116" s="6" t="s">
        <v>102</v>
      </c>
      <c r="J116" s="6" t="s">
        <v>9</v>
      </c>
      <c r="K116" s="6"/>
      <c r="L116" s="6" t="s">
        <v>249</v>
      </c>
    </row>
    <row r="117" spans="1:12" x14ac:dyDescent="0.25">
      <c r="A117" t="s">
        <v>349</v>
      </c>
      <c r="B117" t="s">
        <v>283</v>
      </c>
      <c r="C117" t="s">
        <v>350</v>
      </c>
      <c r="D117" t="s">
        <v>127</v>
      </c>
      <c r="E117" t="s">
        <v>262</v>
      </c>
      <c r="F117" t="s">
        <v>28</v>
      </c>
      <c r="G117" s="2">
        <v>599</v>
      </c>
      <c r="H117" s="5">
        <v>46117.251319444447</v>
      </c>
      <c r="I117" t="s">
        <v>2</v>
      </c>
      <c r="J117" t="s">
        <v>9</v>
      </c>
      <c r="L117" t="s">
        <v>249</v>
      </c>
    </row>
    <row r="118" spans="1:12" x14ac:dyDescent="0.25">
      <c r="A118" s="6" t="s">
        <v>351</v>
      </c>
      <c r="B118" s="6" t="s">
        <v>163</v>
      </c>
      <c r="C118" s="6" t="s">
        <v>352</v>
      </c>
      <c r="D118" s="6" t="s">
        <v>32</v>
      </c>
      <c r="E118" s="6" t="s">
        <v>27</v>
      </c>
      <c r="F118" s="6" t="s">
        <v>28</v>
      </c>
      <c r="G118" s="7">
        <v>594</v>
      </c>
      <c r="H118" s="8">
        <v>46118.063634259262</v>
      </c>
      <c r="I118" s="6" t="s">
        <v>2</v>
      </c>
      <c r="J118" s="6" t="s">
        <v>9</v>
      </c>
      <c r="K118" s="6"/>
      <c r="L118" s="6" t="s">
        <v>249</v>
      </c>
    </row>
    <row r="119" spans="1:12" x14ac:dyDescent="0.25">
      <c r="A119" t="s">
        <v>353</v>
      </c>
      <c r="B119" t="s">
        <v>236</v>
      </c>
      <c r="C119" t="s">
        <v>354</v>
      </c>
      <c r="D119" t="s">
        <v>108</v>
      </c>
      <c r="E119" t="s">
        <v>33</v>
      </c>
      <c r="G119" s="2">
        <v>558</v>
      </c>
      <c r="H119" s="5">
        <v>46117.843877314815</v>
      </c>
      <c r="I119" t="s">
        <v>155</v>
      </c>
      <c r="J119" t="s">
        <v>9</v>
      </c>
      <c r="L119" t="s">
        <v>249</v>
      </c>
    </row>
    <row r="120" spans="1:12" x14ac:dyDescent="0.25">
      <c r="A120" s="6" t="s">
        <v>355</v>
      </c>
      <c r="B120" s="6" t="s">
        <v>146</v>
      </c>
      <c r="C120" s="6" t="s">
        <v>356</v>
      </c>
      <c r="D120" s="6" t="s">
        <v>108</v>
      </c>
      <c r="E120" s="6" t="s">
        <v>27</v>
      </c>
      <c r="F120" s="6" t="s">
        <v>28</v>
      </c>
      <c r="G120" s="7">
        <v>437</v>
      </c>
      <c r="H120" s="8">
        <v>46117.887384259258</v>
      </c>
      <c r="I120" s="6" t="s">
        <v>148</v>
      </c>
      <c r="J120" s="6" t="s">
        <v>9</v>
      </c>
      <c r="K120" s="6"/>
      <c r="L120" s="6" t="s">
        <v>249</v>
      </c>
    </row>
    <row r="121" spans="1:12" x14ac:dyDescent="0.25">
      <c r="A121" t="s">
        <v>357</v>
      </c>
      <c r="B121" t="s">
        <v>121</v>
      </c>
      <c r="C121" t="s">
        <v>358</v>
      </c>
      <c r="D121" t="s">
        <v>32</v>
      </c>
      <c r="E121" t="s">
        <v>27</v>
      </c>
      <c r="F121" t="s">
        <v>28</v>
      </c>
      <c r="G121" s="2">
        <v>377</v>
      </c>
      <c r="H121" s="5">
        <v>46118.072175925925</v>
      </c>
      <c r="I121" t="s">
        <v>102</v>
      </c>
      <c r="J121" t="s">
        <v>9</v>
      </c>
      <c r="L121" t="s">
        <v>249</v>
      </c>
    </row>
    <row r="122" spans="1:12" x14ac:dyDescent="0.25">
      <c r="A122" s="6" t="s">
        <v>359</v>
      </c>
      <c r="B122" s="6" t="s">
        <v>360</v>
      </c>
      <c r="C122" s="6" t="s">
        <v>361</v>
      </c>
      <c r="D122" s="6" t="s">
        <v>138</v>
      </c>
      <c r="E122" s="6" t="s">
        <v>33</v>
      </c>
      <c r="F122" s="6"/>
      <c r="G122" s="7">
        <v>358</v>
      </c>
      <c r="H122" s="8">
        <v>46114.081342592595</v>
      </c>
      <c r="I122" s="6" t="s">
        <v>135</v>
      </c>
      <c r="J122" s="6" t="s">
        <v>40</v>
      </c>
      <c r="K122" s="6"/>
      <c r="L122" s="6" t="s">
        <v>249</v>
      </c>
    </row>
    <row r="123" spans="1:12" x14ac:dyDescent="0.25">
      <c r="A123" t="s">
        <v>362</v>
      </c>
      <c r="B123" t="s">
        <v>310</v>
      </c>
      <c r="C123" t="s">
        <v>363</v>
      </c>
      <c r="D123" t="s">
        <v>209</v>
      </c>
      <c r="E123" t="s">
        <v>33</v>
      </c>
      <c r="G123" s="2">
        <v>345</v>
      </c>
      <c r="H123" s="5">
        <v>46118.076319444444</v>
      </c>
      <c r="I123" t="s">
        <v>2</v>
      </c>
      <c r="J123" t="s">
        <v>9</v>
      </c>
      <c r="L123" t="s">
        <v>249</v>
      </c>
    </row>
    <row r="124" spans="1:12" x14ac:dyDescent="0.25">
      <c r="A124" s="6" t="s">
        <v>364</v>
      </c>
      <c r="B124" s="6" t="s">
        <v>74</v>
      </c>
      <c r="C124" s="6" t="s">
        <v>365</v>
      </c>
      <c r="D124" s="6" t="s">
        <v>138</v>
      </c>
      <c r="E124" s="6" t="s">
        <v>262</v>
      </c>
      <c r="F124" s="6" t="s">
        <v>28</v>
      </c>
      <c r="G124" s="7">
        <v>330</v>
      </c>
      <c r="H124" s="8">
        <v>46117.890428240738</v>
      </c>
      <c r="I124" s="6" t="s">
        <v>39</v>
      </c>
      <c r="J124" s="6" t="s">
        <v>9</v>
      </c>
      <c r="K124" s="6"/>
      <c r="L124" s="6" t="s">
        <v>249</v>
      </c>
    </row>
    <row r="125" spans="1:12" x14ac:dyDescent="0.25">
      <c r="A125" t="s">
        <v>366</v>
      </c>
      <c r="B125" t="s">
        <v>283</v>
      </c>
      <c r="C125" t="s">
        <v>367</v>
      </c>
      <c r="D125" t="s">
        <v>130</v>
      </c>
      <c r="E125" t="s">
        <v>27</v>
      </c>
      <c r="F125" t="s">
        <v>28</v>
      </c>
      <c r="G125" s="2">
        <v>259</v>
      </c>
      <c r="H125" s="5">
        <v>46118.046967592592</v>
      </c>
      <c r="I125" t="s">
        <v>2</v>
      </c>
      <c r="J125" t="s">
        <v>9</v>
      </c>
      <c r="L125" t="s">
        <v>249</v>
      </c>
    </row>
    <row r="126" spans="1:12" x14ac:dyDescent="0.25">
      <c r="A126" s="6" t="s">
        <v>368</v>
      </c>
      <c r="B126" s="6" t="s">
        <v>369</v>
      </c>
      <c r="C126" s="6" t="s">
        <v>370</v>
      </c>
      <c r="D126" s="6" t="s">
        <v>138</v>
      </c>
      <c r="E126" s="6" t="s">
        <v>33</v>
      </c>
      <c r="F126" s="6"/>
      <c r="G126" s="7">
        <v>241</v>
      </c>
      <c r="H126" s="8">
        <v>46114.081655092596</v>
      </c>
      <c r="I126" s="6" t="s">
        <v>135</v>
      </c>
      <c r="J126" s="6" t="s">
        <v>40</v>
      </c>
      <c r="K126" s="6"/>
      <c r="L126" s="6" t="s">
        <v>249</v>
      </c>
    </row>
    <row r="127" spans="1:12" x14ac:dyDescent="0.25">
      <c r="A127" t="s">
        <v>371</v>
      </c>
      <c r="B127" t="s">
        <v>36</v>
      </c>
      <c r="C127" t="s">
        <v>372</v>
      </c>
      <c r="D127" t="s">
        <v>281</v>
      </c>
      <c r="E127" t="s">
        <v>27</v>
      </c>
      <c r="F127" t="s">
        <v>28</v>
      </c>
      <c r="G127" s="2">
        <v>195</v>
      </c>
      <c r="H127" s="5">
        <v>46117.831111111111</v>
      </c>
      <c r="I127" t="s">
        <v>39</v>
      </c>
      <c r="J127" t="s">
        <v>9</v>
      </c>
      <c r="L127" t="s">
        <v>249</v>
      </c>
    </row>
    <row r="128" spans="1:12" x14ac:dyDescent="0.25">
      <c r="A128" s="6" t="s">
        <v>373</v>
      </c>
      <c r="B128" s="6" t="s">
        <v>82</v>
      </c>
      <c r="C128" s="6" t="s">
        <v>374</v>
      </c>
      <c r="D128" s="6" t="s">
        <v>375</v>
      </c>
      <c r="E128" s="6" t="s">
        <v>33</v>
      </c>
      <c r="F128" s="6"/>
      <c r="G128" s="7">
        <v>176</v>
      </c>
      <c r="H128" s="8">
        <v>46118.081886574073</v>
      </c>
      <c r="I128" s="6" t="s">
        <v>39</v>
      </c>
      <c r="J128" s="6" t="s">
        <v>9</v>
      </c>
      <c r="K128" s="6"/>
      <c r="L128" s="6" t="s">
        <v>249</v>
      </c>
    </row>
    <row r="129" spans="1:12" x14ac:dyDescent="0.25">
      <c r="A129" t="s">
        <v>376</v>
      </c>
      <c r="B129" t="s">
        <v>121</v>
      </c>
      <c r="C129" t="s">
        <v>377</v>
      </c>
      <c r="D129" t="s">
        <v>214</v>
      </c>
      <c r="E129" t="s">
        <v>49</v>
      </c>
      <c r="F129" t="s">
        <v>50</v>
      </c>
      <c r="G129" s="2">
        <v>45</v>
      </c>
      <c r="H129" s="5">
        <v>46116.134120370371</v>
      </c>
      <c r="I129" t="s">
        <v>148</v>
      </c>
      <c r="J129" t="s">
        <v>40</v>
      </c>
      <c r="L129" t="s">
        <v>249</v>
      </c>
    </row>
    <row r="133" spans="1:12" ht="18.75" x14ac:dyDescent="0.3">
      <c r="A133" s="12" t="s">
        <v>378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5" spans="1:12" x14ac:dyDescent="0.25">
      <c r="A135" s="3" t="s">
        <v>379</v>
      </c>
      <c r="B135" s="3"/>
      <c r="C135" s="3"/>
      <c r="D135" s="3" t="s">
        <v>380</v>
      </c>
      <c r="E135" s="3"/>
      <c r="F135" s="3"/>
      <c r="G135" s="3" t="s">
        <v>381</v>
      </c>
      <c r="H135" s="3"/>
      <c r="I135" s="3"/>
      <c r="J135" s="3" t="s">
        <v>382</v>
      </c>
      <c r="K135" s="3"/>
      <c r="L135" s="3"/>
    </row>
    <row r="136" spans="1:12" x14ac:dyDescent="0.25">
      <c r="A136" s="4" t="s">
        <v>0</v>
      </c>
      <c r="B136" s="4" t="s">
        <v>383</v>
      </c>
      <c r="C136" s="4" t="s">
        <v>384</v>
      </c>
      <c r="D136" s="4" t="s">
        <v>8</v>
      </c>
      <c r="E136" s="4" t="s">
        <v>383</v>
      </c>
      <c r="F136" s="4"/>
      <c r="G136" s="4" t="s">
        <v>6</v>
      </c>
      <c r="H136" s="4" t="s">
        <v>383</v>
      </c>
      <c r="I136" s="4"/>
      <c r="J136" s="4" t="s">
        <v>10</v>
      </c>
      <c r="K136" s="4" t="s">
        <v>383</v>
      </c>
      <c r="L136" s="4"/>
    </row>
    <row r="137" spans="1:12" x14ac:dyDescent="0.25">
      <c r="A137" t="s">
        <v>58</v>
      </c>
      <c r="B137">
        <f>COUNTIF(E:E,"TE1")</f>
        <v>1</v>
      </c>
      <c r="C137" t="s">
        <v>385</v>
      </c>
      <c r="D137" t="s">
        <v>39</v>
      </c>
      <c r="E137">
        <f>COUNTIF(I:I,"Mobile/Apple")</f>
        <v>12</v>
      </c>
      <c r="G137" t="s">
        <v>9</v>
      </c>
      <c r="H137">
        <f>COUNTIF(J:J,"Active")</f>
        <v>96</v>
      </c>
      <c r="J137" t="s">
        <v>29</v>
      </c>
      <c r="K137">
        <f>COUNTIF(L:L,"Critical")</f>
        <v>6</v>
      </c>
    </row>
    <row r="138" spans="1:12" x14ac:dyDescent="0.25">
      <c r="A138" t="s">
        <v>49</v>
      </c>
      <c r="B138">
        <f>COUNTIF(E:E,"TE2")</f>
        <v>12</v>
      </c>
      <c r="C138" t="s">
        <v>5</v>
      </c>
      <c r="D138" t="s">
        <v>59</v>
      </c>
      <c r="E138">
        <f>COUNTIF(I:I,"Entertainment")</f>
        <v>3</v>
      </c>
      <c r="G138" t="s">
        <v>40</v>
      </c>
      <c r="H138">
        <f>COUNTIF(J:J,"Idle")</f>
        <v>22</v>
      </c>
      <c r="J138" t="s">
        <v>60</v>
      </c>
      <c r="K138">
        <f>COUNTIF(L:L,"High")</f>
        <v>20</v>
      </c>
    </row>
    <row r="139" spans="1:12" x14ac:dyDescent="0.25">
      <c r="A139" t="s">
        <v>95</v>
      </c>
      <c r="B139">
        <f>COUNTIF(E:E,"TE3")</f>
        <v>2</v>
      </c>
      <c r="C139" t="s">
        <v>386</v>
      </c>
      <c r="D139" t="s">
        <v>45</v>
      </c>
      <c r="E139">
        <f>COUNTIF(I:I,"Network/Router")</f>
        <v>9</v>
      </c>
      <c r="G139" t="s">
        <v>34</v>
      </c>
      <c r="H139">
        <f>COUNTIF(J:J,"Inactive")</f>
        <v>6</v>
      </c>
      <c r="J139" t="s">
        <v>131</v>
      </c>
      <c r="K139">
        <f>COUNTIF(L:L,"Medium")</f>
        <v>43</v>
      </c>
    </row>
    <row r="140" spans="1:12" x14ac:dyDescent="0.25">
      <c r="A140" t="s">
        <v>334</v>
      </c>
      <c r="B140">
        <f>COUNTIF(E:E,"TE4")</f>
        <v>1</v>
      </c>
      <c r="C140" t="s">
        <v>387</v>
      </c>
      <c r="D140" t="s">
        <v>135</v>
      </c>
      <c r="E140">
        <f>COUNTIF(I:I,"Infrastructure")</f>
        <v>5</v>
      </c>
      <c r="J140" t="s">
        <v>249</v>
      </c>
      <c r="K140">
        <f>COUNTIF(L:L,"Low")</f>
        <v>55</v>
      </c>
    </row>
    <row r="141" spans="1:12" x14ac:dyDescent="0.25">
      <c r="A141" t="s">
        <v>27</v>
      </c>
      <c r="B141">
        <f>COUNTIF(E:E,"TE5")</f>
        <v>74</v>
      </c>
      <c r="C141" t="s">
        <v>4</v>
      </c>
      <c r="D141" t="s">
        <v>109</v>
      </c>
      <c r="E141">
        <f>COUNTIF(I:I,"Security/Camera")</f>
        <v>7</v>
      </c>
    </row>
    <row r="142" spans="1:12" x14ac:dyDescent="0.25">
      <c r="A142" t="s">
        <v>388</v>
      </c>
      <c r="B142">
        <f>COUNTIF(E:E,"TE6")+COUNTIF(E:E,"TE7")+COUNTIF(E:E,"TE8")+COUNTIF(E:E,"TE9")</f>
        <v>0</v>
      </c>
      <c r="C142" t="s">
        <v>389</v>
      </c>
      <c r="D142" t="s">
        <v>91</v>
      </c>
      <c r="E142">
        <f>COUNTIF(I:I,"Appliance")</f>
        <v>5</v>
      </c>
    </row>
    <row r="143" spans="1:12" x14ac:dyDescent="0.25">
      <c r="A143" t="s">
        <v>262</v>
      </c>
      <c r="B143">
        <f>COUNTIF(E:E,"TE10")</f>
        <v>3</v>
      </c>
      <c r="C143" t="s">
        <v>390</v>
      </c>
      <c r="D143" t="s">
        <v>148</v>
      </c>
      <c r="E143">
        <f>COUNTIF(I:I,"Lighting/Smart")</f>
        <v>17</v>
      </c>
    </row>
    <row r="144" spans="1:12" x14ac:dyDescent="0.25">
      <c r="A144" t="s">
        <v>391</v>
      </c>
      <c r="B144">
        <f>COUNTIF(E:E,"TE11")</f>
        <v>0</v>
      </c>
      <c r="C144" t="s">
        <v>390</v>
      </c>
      <c r="D144" t="s">
        <v>102</v>
      </c>
      <c r="E144">
        <f>COUNTIF(I:I,"Smart Hub")</f>
        <v>17</v>
      </c>
    </row>
    <row r="145" spans="1:12" x14ac:dyDescent="0.25">
      <c r="A145" t="s">
        <v>392</v>
      </c>
      <c r="B145">
        <f>COUNTIF(E:E,"TE12")</f>
        <v>0</v>
      </c>
      <c r="C145" t="s">
        <v>390</v>
      </c>
      <c r="D145" t="s">
        <v>155</v>
      </c>
      <c r="E145">
        <f>COUNTIF(I:I,"Smart Plug/IoT")</f>
        <v>17</v>
      </c>
    </row>
    <row r="146" spans="1:12" x14ac:dyDescent="0.25">
      <c r="A146" t="s">
        <v>33</v>
      </c>
      <c r="B146">
        <f>COUNTIF(E:E,"Not on Switch")</f>
        <v>31</v>
      </c>
      <c r="C146" t="s">
        <v>393</v>
      </c>
      <c r="D146" t="s">
        <v>80</v>
      </c>
      <c r="E146">
        <f>COUNTIF(I:I,"Amazon Device")</f>
        <v>6</v>
      </c>
    </row>
    <row r="147" spans="1:12" x14ac:dyDescent="0.25">
      <c r="D147" t="s">
        <v>394</v>
      </c>
      <c r="E147">
        <f>COUNTIF(I:I,"Server/VM")</f>
        <v>0</v>
      </c>
    </row>
    <row r="148" spans="1:12" x14ac:dyDescent="0.25">
      <c r="D148" t="s">
        <v>325</v>
      </c>
      <c r="E148">
        <f>COUNTIF(I:I,"Energy Monitor")</f>
        <v>1</v>
      </c>
    </row>
    <row r="149" spans="1:12" x14ac:dyDescent="0.25">
      <c r="A149" t="s">
        <v>395</v>
      </c>
      <c r="B149">
        <f>COUNTA(A6:A129)</f>
        <v>124</v>
      </c>
      <c r="D149" t="s">
        <v>396</v>
      </c>
      <c r="E149">
        <f>COUNTIF(I:I,"Unknown")+COUNTIF(I:I,"Wearable")+COUNTIF(I:I,"Thermostat")+COUNTIF(I:I,"Computer")</f>
        <v>25</v>
      </c>
    </row>
    <row r="152" spans="1:12" x14ac:dyDescent="0.25">
      <c r="A152" s="13" t="s">
        <v>397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</row>
    <row r="153" spans="1:12" x14ac:dyDescent="0.25">
      <c r="A153" t="s">
        <v>398</v>
      </c>
    </row>
    <row r="154" spans="1:12" x14ac:dyDescent="0.25">
      <c r="A154" t="s">
        <v>399</v>
      </c>
    </row>
    <row r="155" spans="1:12" x14ac:dyDescent="0.25">
      <c r="A155" t="s">
        <v>400</v>
      </c>
    </row>
    <row r="156" spans="1:12" x14ac:dyDescent="0.25">
      <c r="A156" t="s">
        <v>401</v>
      </c>
    </row>
    <row r="157" spans="1:12" x14ac:dyDescent="0.25">
      <c r="A157" t="s">
        <v>402</v>
      </c>
    </row>
    <row r="159" spans="1:12" x14ac:dyDescent="0.25">
      <c r="A159" s="14" t="s">
        <v>403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</row>
    <row r="160" spans="1:12" x14ac:dyDescent="0.25">
      <c r="A160" t="s">
        <v>18</v>
      </c>
      <c r="B160" t="s">
        <v>384</v>
      </c>
    </row>
    <row r="161" spans="1:2" x14ac:dyDescent="0.25">
      <c r="A161" t="s">
        <v>404</v>
      </c>
      <c r="B161" t="s">
        <v>405</v>
      </c>
    </row>
    <row r="162" spans="1:2" x14ac:dyDescent="0.25">
      <c r="A162" t="s">
        <v>406</v>
      </c>
      <c r="B162" t="s">
        <v>407</v>
      </c>
    </row>
  </sheetData>
  <mergeCells count="6">
    <mergeCell ref="A159:L159"/>
    <mergeCell ref="A1:L1"/>
    <mergeCell ref="A2:L2"/>
    <mergeCell ref="A3:L3"/>
    <mergeCell ref="A133:L133"/>
    <mergeCell ref="A152:L152"/>
  </mergeCells>
  <conditionalFormatting sqref="E6:E129">
    <cfRule type="containsText" dxfId="8" priority="8" operator="containsText" text="TE5">
      <formula>NOT(ISERROR(SEARCH("TE5",E6)))</formula>
    </cfRule>
    <cfRule type="containsText" dxfId="7" priority="9" operator="containsText" text="Not on Switch">
      <formula>NOT(ISERROR(SEARCH("Not on Switch",E6)))</formula>
    </cfRule>
  </conditionalFormatting>
  <conditionalFormatting sqref="J6:J129">
    <cfRule type="containsText" dxfId="6" priority="1" operator="containsText" text="Active">
      <formula>NOT(ISERROR(SEARCH("Active",J6)))</formula>
    </cfRule>
    <cfRule type="containsText" dxfId="5" priority="2" operator="containsText" text="Idle">
      <formula>NOT(ISERROR(SEARCH("Idle",J6)))</formula>
    </cfRule>
    <cfRule type="containsText" dxfId="4" priority="3" operator="containsText" text="Inactive">
      <formula>NOT(ISERROR(SEARCH("Inactive",J6)))</formula>
    </cfRule>
  </conditionalFormatting>
  <conditionalFormatting sqref="L6:L129">
    <cfRule type="containsText" dxfId="3" priority="4" operator="containsText" text="Critical">
      <formula>NOT(ISERROR(SEARCH("Critical",L6)))</formula>
    </cfRule>
    <cfRule type="containsText" dxfId="2" priority="5" operator="containsText" text="High">
      <formula>NOT(ISERROR(SEARCH("High",L6)))</formula>
    </cfRule>
    <cfRule type="containsText" dxfId="1" priority="6" operator="containsText" text="Medium">
      <formula>NOT(ISERROR(SEARCH("Medium",L6)))</formula>
    </cfRule>
    <cfRule type="containsText" dxfId="0" priority="7" operator="containsText" text="Low">
      <formula>NOT(ISERROR(SEARCH("Low",L6)))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casnellie</dc:creator>
  <cp:lastModifiedBy>joe casnellie</cp:lastModifiedBy>
  <dcterms:created xsi:type="dcterms:W3CDTF">2026-04-06T19:21:13Z</dcterms:created>
  <dcterms:modified xsi:type="dcterms:W3CDTF">2026-04-07T06:22:27Z</dcterms:modified>
</cp:coreProperties>
</file>